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CA0D975D-0E6C-4CB0-8D20-C2C19A0F4877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Test Cases" sheetId="1" r:id="rId1"/>
    <sheet name="Test Execution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3" l="1"/>
  <c r="B15" i="3"/>
  <c r="B14" i="3"/>
  <c r="B17" i="3" s="1"/>
  <c r="B13" i="3"/>
  <c r="B12" i="3"/>
  <c r="B11" i="3"/>
  <c r="B10" i="3"/>
  <c r="B9" i="3"/>
</calcChain>
</file>

<file path=xl/sharedStrings.xml><?xml version="1.0" encoding="utf-8"?>
<sst xmlns="http://schemas.openxmlformats.org/spreadsheetml/2006/main" count="156" uniqueCount="116">
  <si>
    <t>Module Name:</t>
  </si>
  <si>
    <t>QA Playground Bank Demo App - Login, Dashboard, Accounts, Transactions</t>
  </si>
  <si>
    <t>Practical No.:</t>
  </si>
  <si>
    <t>Practical 9 - Black-Box, White-Box, Integration &amp; System Testing</t>
  </si>
  <si>
    <t>Test Case ID Range:</t>
  </si>
  <si>
    <t>TC001 to TC006</t>
  </si>
  <si>
    <t>Tester Name:</t>
  </si>
  <si>
    <t>Abhishek</t>
  </si>
  <si>
    <t>Test Case Description:</t>
  </si>
  <si>
    <t>To design and execute test cases covering Black-Box, White-Box, Integration, and System Testing on the QA Playground Bank Demo App (Login -&gt; Dashboard -&gt; Accounts -&gt; Transaction flow).</t>
  </si>
  <si>
    <t>Prerequisites:</t>
  </si>
  <si>
    <t>1. Stable internet connection
2. Google Chrome browser
3. Valid URL for the Bank Demo App
4. Valid registered username/password
5. Visual Studio Code for the White-Box Python implementation</t>
  </si>
  <si>
    <t>Environment Information:</t>
  </si>
  <si>
    <t>Test Case ID</t>
  </si>
  <si>
    <t>Requirement ID</t>
  </si>
  <si>
    <t>Module</t>
  </si>
  <si>
    <t>Testing Type</t>
  </si>
  <si>
    <t>Test Scenario</t>
  </si>
  <si>
    <t>Preconditions</t>
  </si>
  <si>
    <t>Test Data</t>
  </si>
  <si>
    <t>Expected Result</t>
  </si>
  <si>
    <t>Actual Result</t>
  </si>
  <si>
    <t>Status</t>
  </si>
  <si>
    <t>Priority</t>
  </si>
  <si>
    <t>TC001</t>
  </si>
  <si>
    <t>R001</t>
  </si>
  <si>
    <t>Login Module</t>
  </si>
  <si>
    <t>Black-Box</t>
  </si>
  <si>
    <t>Login with valid username and password</t>
  </si>
  <si>
    <t>Bank Demo login page is displayed</t>
  </si>
  <si>
    <t>Valid registered username / password</t>
  </si>
  <si>
    <t>Login Successful and Dashboard Opens</t>
  </si>
  <si>
    <t>Pass</t>
  </si>
  <si>
    <t>High</t>
  </si>
  <si>
    <t>TC002</t>
  </si>
  <si>
    <t>R002</t>
  </si>
  <si>
    <t>Login with invalid username and/or password</t>
  </si>
  <si>
    <t>Invalid username / password combination</t>
  </si>
  <si>
    <t>Error Message Displayed</t>
  </si>
  <si>
    <t>TC003</t>
  </si>
  <si>
    <t>R003</t>
  </si>
  <si>
    <t>Login Module (Python model)</t>
  </si>
  <si>
    <t>White-Box</t>
  </si>
  <si>
    <t>Verify valid-credentials branch (Branch 1: success path)</t>
  </si>
  <si>
    <t>Python supporting implementation is available in VS Code</t>
  </si>
  <si>
    <t>username="testuser", password="Test@123"</t>
  </si>
  <si>
    <t>Branch Executed - Login Successful -&gt; Dashboard -&gt; Accounts -&gt; Transaction</t>
  </si>
  <si>
    <t>Branch Executed as expected</t>
  </si>
  <si>
    <t>Medium</t>
  </si>
  <si>
    <t>TC004</t>
  </si>
  <si>
    <t>R004</t>
  </si>
  <si>
    <t>Verify invalid-credentials branch (Branch 2: failure path)</t>
  </si>
  <si>
    <t>username/password not matching "testuser"/"Test@123"</t>
  </si>
  <si>
    <t>Branch Executed - "Invalid Username or Password" printed, flow terminates</t>
  </si>
  <si>
    <t>TC005</t>
  </si>
  <si>
    <t>R005</t>
  </si>
  <si>
    <t>Login + Dashboard Modules</t>
  </si>
  <si>
    <t>Integration</t>
  </si>
  <si>
    <t>Verify Login module correctly hands off to Dashboard module</t>
  </si>
  <si>
    <t>Valid credentials available</t>
  </si>
  <si>
    <t>Dashboard Opens immediately after successful login</t>
  </si>
  <si>
    <t>TC006</t>
  </si>
  <si>
    <t>R006</t>
  </si>
  <si>
    <t>Login, Dashboard, Accounts, Transactions</t>
  </si>
  <si>
    <t>System</t>
  </si>
  <si>
    <t>End-to-end flow: Login -&gt; Dashboard -&gt; Accounts -&gt; Transaction -&gt; Logout</t>
  </si>
  <si>
    <t>Valid credentials; transaction amount within balance</t>
  </si>
  <si>
    <t>All modules work correctly end-to-end and Logout returns to login page</t>
  </si>
  <si>
    <t>All modules worked correctly end-to-end and Logout returned to login page</t>
  </si>
  <si>
    <t>Step No.</t>
  </si>
  <si>
    <t>Test Steps</t>
  </si>
  <si>
    <t>Input</t>
  </si>
  <si>
    <t>Launch Bank Demo App</t>
  </si>
  <si>
    <t>-</t>
  </si>
  <si>
    <t>Login page is displayed</t>
  </si>
  <si>
    <t>Enter username</t>
  </si>
  <si>
    <t>Valid username</t>
  </si>
  <si>
    <t>Username is accepted</t>
  </si>
  <si>
    <t>Enter password</t>
  </si>
  <si>
    <t>Valid password</t>
  </si>
  <si>
    <t>Password is accepted</t>
  </si>
  <si>
    <t>Click Login button</t>
  </si>
  <si>
    <t>Click</t>
  </si>
  <si>
    <t>Dashboard opens</t>
  </si>
  <si>
    <t>Navigate to Accounts</t>
  </si>
  <si>
    <t>Click Accounts</t>
  </si>
  <si>
    <t>Account details displayed</t>
  </si>
  <si>
    <t>Perform transaction action</t>
  </si>
  <si>
    <t>Click Transaction</t>
  </si>
  <si>
    <t>Transaction screen loads</t>
  </si>
  <si>
    <t>Click Logout</t>
  </si>
  <si>
    <t>Login page reopens</t>
  </si>
  <si>
    <t>Practical 9 - Test Summary Report</t>
  </si>
  <si>
    <t>Practical Name</t>
  </si>
  <si>
    <t>Black-Box, White-Box, Integration &amp; System Testing</t>
  </si>
  <si>
    <t>Application Tested</t>
  </si>
  <si>
    <t>QA Playground Bank Demo App</t>
  </si>
  <si>
    <t>Application URL</t>
  </si>
  <si>
    <t>https://qaplayground.com/demo</t>
  </si>
  <si>
    <t>Tester Name</t>
  </si>
  <si>
    <t>Metric</t>
  </si>
  <si>
    <t>Value</t>
  </si>
  <si>
    <t>Total Test Cases</t>
  </si>
  <si>
    <t>Black-Box Test Cases</t>
  </si>
  <si>
    <t>White-Box Test Cases</t>
  </si>
  <si>
    <t>Integration Test Cases</t>
  </si>
  <si>
    <t>System Test Cases</t>
  </si>
  <si>
    <t>Total Passed</t>
  </si>
  <si>
    <t>Total Failed</t>
  </si>
  <si>
    <t>Total Not Executed</t>
  </si>
  <si>
    <t>Pass %</t>
  </si>
  <si>
    <t>Overall Test Status</t>
  </si>
  <si>
    <t>Testing Completed Successfully</t>
  </si>
  <si>
    <t>Execution Date</t>
  </si>
  <si>
    <t>23/08/2026</t>
  </si>
  <si>
    <t>OS: Windows 11
Browser: Google Chrome
Webpage URL: https://qaplayground.com/demo
SDLC Model: Waterfall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</si>
</sst>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3"/>
      <name val="Times New Roman"/>
      <charset val="1"/>
    </font>
    <font>
      <i/>
      <sz val="10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zoomScale="60" zoomScaleNormal="60" workbookViewId="0">
      <pane ySplit="9" topLeftCell="A10" activePane="bottomLeft" state="frozen"/>
      <selection pane="bottomLeft" activeCell="G8" sqref="G8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20" customWidth="1"/>
    <col min="4" max="4" width="12" customWidth="1"/>
    <col min="5" max="5" width="30" customWidth="1"/>
    <col min="6" max="7" width="24" customWidth="1"/>
    <col min="8" max="9" width="30" customWidth="1"/>
    <col min="10" max="10" width="12" customWidth="1"/>
    <col min="11" max="11" width="9" customWidth="1"/>
  </cols>
  <sheetData>
    <row r="1" spans="1:11" ht="15" customHeight="1" x14ac:dyDescent="0.35">
      <c r="A1" s="4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 x14ac:dyDescent="0.35">
      <c r="A2" s="4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</row>
    <row r="3" spans="1:11" ht="15" customHeight="1" x14ac:dyDescent="0.35">
      <c r="A3" s="4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 x14ac:dyDescent="0.35">
      <c r="A4" s="4" t="s">
        <v>6</v>
      </c>
      <c r="B4" s="3" t="s">
        <v>7</v>
      </c>
      <c r="C4" s="3"/>
      <c r="D4" s="3"/>
      <c r="E4" s="3"/>
      <c r="F4" s="3"/>
      <c r="G4" s="3"/>
      <c r="H4" s="3"/>
      <c r="I4" s="3"/>
      <c r="J4" s="3"/>
      <c r="K4" s="3"/>
    </row>
    <row r="5" spans="1:11" ht="15" customHeight="1" x14ac:dyDescent="0.35">
      <c r="A5" s="4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</row>
    <row r="6" spans="1:11" ht="69.75" customHeight="1" x14ac:dyDescent="0.35">
      <c r="A6" s="4" t="s">
        <v>10</v>
      </c>
      <c r="B6" s="3" t="s">
        <v>11</v>
      </c>
      <c r="C6" s="3"/>
      <c r="D6" s="3"/>
      <c r="E6" s="3"/>
      <c r="F6" s="3"/>
      <c r="G6" s="3"/>
      <c r="H6" s="3"/>
      <c r="I6" s="3"/>
      <c r="J6" s="3"/>
      <c r="K6" s="3"/>
    </row>
    <row r="7" spans="1:11" ht="55.5" customHeight="1" x14ac:dyDescent="0.35">
      <c r="A7" s="4" t="s">
        <v>12</v>
      </c>
      <c r="B7" s="3" t="s">
        <v>115</v>
      </c>
      <c r="C7" s="3"/>
      <c r="D7" s="3"/>
      <c r="E7" s="3"/>
      <c r="F7" s="3"/>
      <c r="G7" s="3"/>
      <c r="H7" s="3"/>
      <c r="I7" s="3"/>
      <c r="J7" s="3"/>
      <c r="K7" s="3"/>
    </row>
    <row r="9" spans="1:11" ht="19.5" customHeight="1" x14ac:dyDescent="0.3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6" t="s">
        <v>23</v>
      </c>
    </row>
    <row r="10" spans="1:11" ht="45.75" customHeight="1" x14ac:dyDescent="0.35">
      <c r="A10" s="7" t="s">
        <v>24</v>
      </c>
      <c r="B10" s="7" t="s">
        <v>25</v>
      </c>
      <c r="C10" s="7" t="s">
        <v>26</v>
      </c>
      <c r="D10" s="7" t="s">
        <v>27</v>
      </c>
      <c r="E10" s="7" t="s">
        <v>28</v>
      </c>
      <c r="F10" s="7" t="s">
        <v>29</v>
      </c>
      <c r="G10" s="7" t="s">
        <v>30</v>
      </c>
      <c r="H10" s="7" t="s">
        <v>31</v>
      </c>
      <c r="I10" s="7" t="s">
        <v>31</v>
      </c>
      <c r="J10" s="7" t="s">
        <v>32</v>
      </c>
      <c r="K10" s="7" t="s">
        <v>33</v>
      </c>
    </row>
    <row r="11" spans="1:11" ht="45.75" customHeight="1" x14ac:dyDescent="0.35">
      <c r="A11" s="7" t="s">
        <v>34</v>
      </c>
      <c r="B11" s="7" t="s">
        <v>35</v>
      </c>
      <c r="C11" s="7" t="s">
        <v>26</v>
      </c>
      <c r="D11" s="7" t="s">
        <v>27</v>
      </c>
      <c r="E11" s="7" t="s">
        <v>36</v>
      </c>
      <c r="F11" s="7" t="s">
        <v>29</v>
      </c>
      <c r="G11" s="7" t="s">
        <v>37</v>
      </c>
      <c r="H11" s="7" t="s">
        <v>38</v>
      </c>
      <c r="I11" s="7" t="s">
        <v>38</v>
      </c>
      <c r="J11" s="7" t="s">
        <v>32</v>
      </c>
      <c r="K11" s="7" t="s">
        <v>33</v>
      </c>
    </row>
    <row r="12" spans="1:11" ht="45.75" customHeight="1" x14ac:dyDescent="0.35">
      <c r="A12" s="7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44</v>
      </c>
      <c r="G12" s="7" t="s">
        <v>45</v>
      </c>
      <c r="H12" s="7" t="s">
        <v>46</v>
      </c>
      <c r="I12" s="7" t="s">
        <v>47</v>
      </c>
      <c r="J12" s="7" t="s">
        <v>32</v>
      </c>
      <c r="K12" s="7" t="s">
        <v>48</v>
      </c>
    </row>
    <row r="13" spans="1:11" ht="45.75" customHeight="1" x14ac:dyDescent="0.35">
      <c r="A13" s="7" t="s">
        <v>49</v>
      </c>
      <c r="B13" s="7" t="s">
        <v>50</v>
      </c>
      <c r="C13" s="7" t="s">
        <v>41</v>
      </c>
      <c r="D13" s="7" t="s">
        <v>42</v>
      </c>
      <c r="E13" s="7" t="s">
        <v>51</v>
      </c>
      <c r="F13" s="7" t="s">
        <v>44</v>
      </c>
      <c r="G13" s="7" t="s">
        <v>52</v>
      </c>
      <c r="H13" s="7" t="s">
        <v>53</v>
      </c>
      <c r="I13" s="7" t="s">
        <v>47</v>
      </c>
      <c r="J13" s="7" t="s">
        <v>32</v>
      </c>
      <c r="K13" s="7" t="s">
        <v>48</v>
      </c>
    </row>
    <row r="14" spans="1:11" ht="45.75" customHeight="1" x14ac:dyDescent="0.35">
      <c r="A14" s="7" t="s">
        <v>54</v>
      </c>
      <c r="B14" s="7" t="s">
        <v>55</v>
      </c>
      <c r="C14" s="7" t="s">
        <v>56</v>
      </c>
      <c r="D14" s="7" t="s">
        <v>57</v>
      </c>
      <c r="E14" s="7" t="s">
        <v>58</v>
      </c>
      <c r="F14" s="7" t="s">
        <v>59</v>
      </c>
      <c r="G14" s="7" t="s">
        <v>30</v>
      </c>
      <c r="H14" s="7" t="s">
        <v>60</v>
      </c>
      <c r="I14" s="7" t="s">
        <v>60</v>
      </c>
      <c r="J14" s="7" t="s">
        <v>32</v>
      </c>
      <c r="K14" s="7" t="s">
        <v>33</v>
      </c>
    </row>
    <row r="15" spans="1:11" ht="45.75" customHeight="1" x14ac:dyDescent="0.35">
      <c r="A15" s="7" t="s">
        <v>61</v>
      </c>
      <c r="B15" s="7" t="s">
        <v>62</v>
      </c>
      <c r="C15" s="7" t="s">
        <v>63</v>
      </c>
      <c r="D15" s="7" t="s">
        <v>64</v>
      </c>
      <c r="E15" s="7" t="s">
        <v>65</v>
      </c>
      <c r="F15" s="7" t="s">
        <v>29</v>
      </c>
      <c r="G15" s="7" t="s">
        <v>66</v>
      </c>
      <c r="H15" s="7" t="s">
        <v>67</v>
      </c>
      <c r="I15" s="7" t="s">
        <v>68</v>
      </c>
      <c r="J15" s="7" t="s">
        <v>32</v>
      </c>
      <c r="K15" s="7" t="s">
        <v>33</v>
      </c>
    </row>
  </sheetData>
  <mergeCells count="7">
    <mergeCell ref="B6:K6"/>
    <mergeCell ref="B7:K7"/>
    <mergeCell ref="B1:K1"/>
    <mergeCell ref="B2:K2"/>
    <mergeCell ref="B3:K3"/>
    <mergeCell ref="B4:K4"/>
    <mergeCell ref="B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/>
  </sheetViews>
  <sheetFormatPr defaultColWidth="8.6328125" defaultRowHeight="14.5" x14ac:dyDescent="0.35"/>
  <cols>
    <col min="1" max="1" width="9" customWidth="1"/>
    <col min="2" max="2" width="22" customWidth="1"/>
    <col min="3" max="3" width="20" customWidth="1"/>
    <col min="4" max="5" width="26" customWidth="1"/>
    <col min="6" max="6" width="10" customWidth="1"/>
  </cols>
  <sheetData>
    <row r="1" spans="1:6" ht="19.5" customHeight="1" x14ac:dyDescent="0.35">
      <c r="A1" s="6" t="s">
        <v>69</v>
      </c>
      <c r="B1" s="6" t="s">
        <v>70</v>
      </c>
      <c r="C1" s="6" t="s">
        <v>71</v>
      </c>
      <c r="D1" s="6" t="s">
        <v>20</v>
      </c>
      <c r="E1" s="6" t="s">
        <v>21</v>
      </c>
      <c r="F1" s="6" t="s">
        <v>22</v>
      </c>
    </row>
    <row r="2" spans="1:6" ht="30" customHeight="1" x14ac:dyDescent="0.35">
      <c r="A2" s="7">
        <v>1</v>
      </c>
      <c r="B2" s="7" t="s">
        <v>72</v>
      </c>
      <c r="C2" s="7" t="s">
        <v>73</v>
      </c>
      <c r="D2" s="7" t="s">
        <v>74</v>
      </c>
      <c r="E2" s="7" t="s">
        <v>74</v>
      </c>
      <c r="F2" s="7" t="s">
        <v>32</v>
      </c>
    </row>
    <row r="3" spans="1:6" ht="30" customHeight="1" x14ac:dyDescent="0.35">
      <c r="A3" s="7">
        <v>2</v>
      </c>
      <c r="B3" s="7" t="s">
        <v>75</v>
      </c>
      <c r="C3" s="7" t="s">
        <v>76</v>
      </c>
      <c r="D3" s="7" t="s">
        <v>77</v>
      </c>
      <c r="E3" s="7" t="s">
        <v>77</v>
      </c>
      <c r="F3" s="7" t="s">
        <v>32</v>
      </c>
    </row>
    <row r="4" spans="1:6" ht="30" customHeight="1" x14ac:dyDescent="0.35">
      <c r="A4" s="7">
        <v>3</v>
      </c>
      <c r="B4" s="7" t="s">
        <v>78</v>
      </c>
      <c r="C4" s="7" t="s">
        <v>79</v>
      </c>
      <c r="D4" s="7" t="s">
        <v>80</v>
      </c>
      <c r="E4" s="7" t="s">
        <v>80</v>
      </c>
      <c r="F4" s="7" t="s">
        <v>32</v>
      </c>
    </row>
    <row r="5" spans="1:6" ht="30" customHeight="1" x14ac:dyDescent="0.35">
      <c r="A5" s="7">
        <v>4</v>
      </c>
      <c r="B5" s="7" t="s">
        <v>81</v>
      </c>
      <c r="C5" s="7" t="s">
        <v>82</v>
      </c>
      <c r="D5" s="7" t="s">
        <v>83</v>
      </c>
      <c r="E5" s="7" t="s">
        <v>83</v>
      </c>
      <c r="F5" s="7" t="s">
        <v>32</v>
      </c>
    </row>
    <row r="6" spans="1:6" ht="30" customHeight="1" x14ac:dyDescent="0.35">
      <c r="A6" s="7">
        <v>5</v>
      </c>
      <c r="B6" s="7" t="s">
        <v>84</v>
      </c>
      <c r="C6" s="7" t="s">
        <v>85</v>
      </c>
      <c r="D6" s="7" t="s">
        <v>86</v>
      </c>
      <c r="E6" s="7" t="s">
        <v>86</v>
      </c>
      <c r="F6" s="7" t="s">
        <v>32</v>
      </c>
    </row>
    <row r="7" spans="1:6" ht="30" customHeight="1" x14ac:dyDescent="0.35">
      <c r="A7" s="7">
        <v>6</v>
      </c>
      <c r="B7" s="7" t="s">
        <v>87</v>
      </c>
      <c r="C7" s="7" t="s">
        <v>88</v>
      </c>
      <c r="D7" s="7" t="s">
        <v>89</v>
      </c>
      <c r="E7" s="7" t="s">
        <v>89</v>
      </c>
      <c r="F7" s="7" t="s">
        <v>32</v>
      </c>
    </row>
    <row r="8" spans="1:6" ht="30" customHeight="1" x14ac:dyDescent="0.35">
      <c r="A8" s="7">
        <v>7</v>
      </c>
      <c r="B8" s="7" t="s">
        <v>90</v>
      </c>
      <c r="C8" s="7" t="s">
        <v>82</v>
      </c>
      <c r="D8" s="7" t="s">
        <v>91</v>
      </c>
      <c r="E8" s="7" t="s">
        <v>91</v>
      </c>
      <c r="F8" s="7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tabSelected="1" zoomScaleNormal="100" workbookViewId="0">
      <selection activeCell="A21" sqref="A21:B21"/>
    </sheetView>
  </sheetViews>
  <sheetFormatPr defaultColWidth="8.6328125" defaultRowHeight="14.5" x14ac:dyDescent="0.35"/>
  <cols>
    <col min="1" max="1" width="30" customWidth="1"/>
    <col min="2" max="2" width="32" customWidth="1"/>
  </cols>
  <sheetData>
    <row r="1" spans="1:2" ht="16.5" x14ac:dyDescent="0.35">
      <c r="A1" s="2" t="s">
        <v>92</v>
      </c>
      <c r="B1" s="2"/>
    </row>
    <row r="3" spans="1:2" ht="28" x14ac:dyDescent="0.35">
      <c r="A3" s="8" t="s">
        <v>93</v>
      </c>
      <c r="B3" s="5" t="s">
        <v>94</v>
      </c>
    </row>
    <row r="4" spans="1:2" x14ac:dyDescent="0.35">
      <c r="A4" s="8" t="s">
        <v>95</v>
      </c>
      <c r="B4" s="5" t="s">
        <v>96</v>
      </c>
    </row>
    <row r="5" spans="1:2" x14ac:dyDescent="0.35">
      <c r="A5" s="8" t="s">
        <v>97</v>
      </c>
      <c r="B5" s="5" t="s">
        <v>98</v>
      </c>
    </row>
    <row r="6" spans="1:2" x14ac:dyDescent="0.35">
      <c r="A6" s="8" t="s">
        <v>99</v>
      </c>
      <c r="B6" s="5" t="s">
        <v>7</v>
      </c>
    </row>
    <row r="8" spans="1:2" x14ac:dyDescent="0.35">
      <c r="A8" s="6" t="s">
        <v>100</v>
      </c>
      <c r="B8" s="6" t="s">
        <v>101</v>
      </c>
    </row>
    <row r="9" spans="1:2" x14ac:dyDescent="0.35">
      <c r="A9" s="9" t="s">
        <v>102</v>
      </c>
      <c r="B9" s="10">
        <f>COUNTA('Test Cases'!A10:A15)</f>
        <v>6</v>
      </c>
    </row>
    <row r="10" spans="1:2" x14ac:dyDescent="0.35">
      <c r="A10" s="9" t="s">
        <v>103</v>
      </c>
      <c r="B10" s="10">
        <f>COUNTIF('Test Cases'!D10:D15,"Black-Box")</f>
        <v>2</v>
      </c>
    </row>
    <row r="11" spans="1:2" x14ac:dyDescent="0.35">
      <c r="A11" s="9" t="s">
        <v>104</v>
      </c>
      <c r="B11" s="10">
        <f>COUNTIF('Test Cases'!D10:D15,"White-Box")</f>
        <v>2</v>
      </c>
    </row>
    <row r="12" spans="1:2" x14ac:dyDescent="0.35">
      <c r="A12" s="9" t="s">
        <v>105</v>
      </c>
      <c r="B12" s="10">
        <f>COUNTIF('Test Cases'!D10:D15,"Integration")</f>
        <v>1</v>
      </c>
    </row>
    <row r="13" spans="1:2" x14ac:dyDescent="0.35">
      <c r="A13" s="9" t="s">
        <v>106</v>
      </c>
      <c r="B13" s="10">
        <f>COUNTIF('Test Cases'!D10:D15,"System")</f>
        <v>1</v>
      </c>
    </row>
    <row r="14" spans="1:2" x14ac:dyDescent="0.35">
      <c r="A14" s="9" t="s">
        <v>107</v>
      </c>
      <c r="B14" s="10">
        <f>COUNTIF('Test Cases'!J10:J15,"Pass")</f>
        <v>6</v>
      </c>
    </row>
    <row r="15" spans="1:2" x14ac:dyDescent="0.35">
      <c r="A15" s="9" t="s">
        <v>108</v>
      </c>
      <c r="B15" s="10">
        <f>COUNTIF('Test Cases'!J10:J15,"Fail")</f>
        <v>0</v>
      </c>
    </row>
    <row r="16" spans="1:2" x14ac:dyDescent="0.35">
      <c r="A16" s="9" t="s">
        <v>109</v>
      </c>
      <c r="B16" s="10">
        <f>COUNTIF('Test Cases'!J10:J15,"Not Executed")</f>
        <v>0</v>
      </c>
    </row>
    <row r="17" spans="1:2" x14ac:dyDescent="0.35">
      <c r="A17" s="9" t="s">
        <v>110</v>
      </c>
      <c r="B17" s="11">
        <f>IFERROR(B14/B9,0)</f>
        <v>1</v>
      </c>
    </row>
    <row r="18" spans="1:2" x14ac:dyDescent="0.35">
      <c r="A18" s="9" t="s">
        <v>111</v>
      </c>
      <c r="B18" s="7" t="s">
        <v>112</v>
      </c>
    </row>
    <row r="19" spans="1:2" x14ac:dyDescent="0.35">
      <c r="A19" s="9" t="s">
        <v>113</v>
      </c>
      <c r="B19" s="9" t="s">
        <v>114</v>
      </c>
    </row>
    <row r="21" spans="1:2" ht="30" customHeight="1" x14ac:dyDescent="0.35">
      <c r="A21" s="1"/>
      <c r="B21" s="1"/>
    </row>
  </sheetData>
  <mergeCells count="2">
    <mergeCell ref="A1:B1"/>
    <mergeCell ref="A21:B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Execution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2026-08-24T19:33:25Z</dcterms:created>
  <dcterms:modified xsi:type="dcterms:W3CDTF">2026-08-25T02:56:04Z</dcterms:modified>
  <dc:language>en-US</dc:language>
</cp:coreProperties>
</file>