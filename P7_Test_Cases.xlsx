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5D432105-09C1-4096-BFE5-32CE722EAFC1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Test Case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10" i="2"/>
  <c r="B13" i="2" s="1"/>
  <c r="B9" i="2"/>
</calcChain>
</file>

<file path=xl/sharedStrings.xml><?xml version="1.0" encoding="utf-8"?>
<sst xmlns="http://schemas.openxmlformats.org/spreadsheetml/2006/main" count="120" uniqueCount="84">
  <si>
    <t>Module Name:</t>
  </si>
  <si>
    <t>Web Form Registration Module - Date of Joining Field</t>
  </si>
  <si>
    <t>Practical No.:</t>
  </si>
  <si>
    <t>Practical 7 - Equivalence Partitioning (EP) &amp; Boundary Value Analysis (BVA)</t>
  </si>
  <si>
    <t>Test Case ID Range:</t>
  </si>
  <si>
    <t>P7_TC_01 to P7_TC_09</t>
  </si>
  <si>
    <t>Tester Name:</t>
  </si>
  <si>
    <t>Abhishek</t>
  </si>
  <si>
    <t>Test Case Description:</t>
  </si>
  <si>
    <t>To validate the Date of Joining field (dd/mm/yyyy format, valid day range 1-31) on the QA Practice Web Form Registration module, using Equivalence Partitioning and Boundary Value Analysis techniques.</t>
  </si>
  <si>
    <t>Prerequisites:</t>
  </si>
  <si>
    <t>1. Stable internet connection
2. Google Chrome browser
3. Valid URL for the QA Practice Web Form Registration page
4. Access to Visual Studio Code for supporting Python validation script</t>
  </si>
  <si>
    <t>Environment Information:</t>
  </si>
  <si>
    <t>Test Case ID</t>
  </si>
  <si>
    <t>Technique (EP/BVA)</t>
  </si>
  <si>
    <t>Scenario</t>
  </si>
  <si>
    <t>Test Input</t>
  </si>
  <si>
    <t>Expected Result</t>
  </si>
  <si>
    <t>Actual Result</t>
  </si>
  <si>
    <t>Status</t>
  </si>
  <si>
    <t>Priority</t>
  </si>
  <si>
    <t>Remarks</t>
  </si>
  <si>
    <t>P7_TC_01</t>
  </si>
  <si>
    <t>BVA</t>
  </si>
  <si>
    <t>Day just below minimum boundary (Minimum - 1)</t>
  </si>
  <si>
    <t>00/06/2021 (Day = 00)</t>
  </si>
  <si>
    <t>Invalid Day - should be rejected with validation error</t>
  </si>
  <si>
    <t>Pending - to be recorded during live execution</t>
  </si>
  <si>
    <t>Not Executed</t>
  </si>
  <si>
    <t>High</t>
  </si>
  <si>
    <t>Boundary value below valid range (1-31)</t>
  </si>
  <si>
    <t>P7_TC_02</t>
  </si>
  <si>
    <t>Day at minimum boundary (Minimum)</t>
  </si>
  <si>
    <t>01/06/2021 (Day = 01)</t>
  </si>
  <si>
    <t>Valid Day - should be accepted</t>
  </si>
  <si>
    <t>Minimum valid boundary value</t>
  </si>
  <si>
    <t>P7_TC_03</t>
  </si>
  <si>
    <t>Day just above minimum boundary (Minimum + 1)</t>
  </si>
  <si>
    <t>02/06/2021 (Day = 02)</t>
  </si>
  <si>
    <t>Medium</t>
  </si>
  <si>
    <t>Just above minimum boundary</t>
  </si>
  <si>
    <t>P7_TC_04</t>
  </si>
  <si>
    <t>EP</t>
  </si>
  <si>
    <t>Day within valid equivalence class (nominal/mid-range value)</t>
  </si>
  <si>
    <t>15/06/2021 (Day = 15)</t>
  </si>
  <si>
    <t>Representative value of valid partition 1-31</t>
  </si>
  <si>
    <t>P7_TC_05</t>
  </si>
  <si>
    <t>Day just below maximum boundary (Maximum - 1)</t>
  </si>
  <si>
    <t>30/06/2021 (Day = 30)</t>
  </si>
  <si>
    <t>Just below maximum boundary</t>
  </si>
  <si>
    <t>P7_TC_06</t>
  </si>
  <si>
    <t>Day at maximum boundary (Maximum)</t>
  </si>
  <si>
    <t>31/06/2021 (Day = 31)</t>
  </si>
  <si>
    <t>Maximum valid boundary value</t>
  </si>
  <si>
    <t>P7_TC_07</t>
  </si>
  <si>
    <t>Day just above maximum boundary (Maximum + 1)</t>
  </si>
  <si>
    <t>32/06/2021 (Day = 32)</t>
  </si>
  <si>
    <t>Boundary value above valid range (1-31)</t>
  </si>
  <si>
    <t>P7_TC_08</t>
  </si>
  <si>
    <t>Valid date format (dd/mm/yyyy) - valid partition</t>
  </si>
  <si>
    <t>01/06/2021</t>
  </si>
  <si>
    <t>Accepted - format recognised as valid</t>
  </si>
  <si>
    <t>Representative value of valid format partition</t>
  </si>
  <si>
    <t>P7_TC_09</t>
  </si>
  <si>
    <t>Invalid date format (yyyy-mm-dd) - invalid partition</t>
  </si>
  <si>
    <t>2021-06-01</t>
  </si>
  <si>
    <t>Rejected with message: "Date of Joining format should be dd/mm/yyyy"</t>
  </si>
  <si>
    <t>Representative value of invalid format partition</t>
  </si>
  <si>
    <t>Practical 7 - Test Execution Summary</t>
  </si>
  <si>
    <t>Practical Name</t>
  </si>
  <si>
    <t>Equivalence Partitioning (EP) &amp; Boundary Value Analysis (BVA)</t>
  </si>
  <si>
    <t>Module Tested</t>
  </si>
  <si>
    <t>Web Form Registration - Date of Joining Field</t>
  </si>
  <si>
    <t>Application URL</t>
  </si>
  <si>
    <t>https://www.qapractice.com/practice-forms</t>
  </si>
  <si>
    <t>Tester Name</t>
  </si>
  <si>
    <t>Metric</t>
  </si>
  <si>
    <t>Count</t>
  </si>
  <si>
    <t>Total Test Cases</t>
  </si>
  <si>
    <t>Passed</t>
  </si>
  <si>
    <t>Failed</t>
  </si>
  <si>
    <t>Not Executed / Pending</t>
  </si>
  <si>
    <t>Pass %</t>
  </si>
  <si>
    <t>OS: Windows 11
Browser: Google Chrome
Webpage URL: https://www.qapractice.com/practice-forms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</si>
</sst>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  <font>
      <i/>
      <sz val="1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="60" zoomScaleNormal="60" workbookViewId="0">
      <pane ySplit="9" topLeftCell="A10" activePane="bottomLeft" state="frozen"/>
      <selection pane="bottomLeft" activeCell="C15" sqref="C15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2" customWidth="1"/>
    <col min="4" max="4" width="20" customWidth="1"/>
    <col min="5" max="5" width="32" customWidth="1"/>
    <col min="6" max="6" width="30" customWidth="1"/>
    <col min="7" max="7" width="13" customWidth="1"/>
    <col min="8" max="8" width="10" customWidth="1"/>
    <col min="9" max="9" width="30" customWidth="1"/>
  </cols>
  <sheetData>
    <row r="1" spans="1:9" ht="15" customHeight="1" x14ac:dyDescent="0.35">
      <c r="A1" s="4" t="s">
        <v>0</v>
      </c>
      <c r="B1" s="3" t="s">
        <v>1</v>
      </c>
      <c r="C1" s="3"/>
      <c r="D1" s="3"/>
      <c r="E1" s="3"/>
      <c r="F1" s="3"/>
      <c r="G1" s="3"/>
      <c r="H1" s="3"/>
      <c r="I1" s="3"/>
    </row>
    <row r="2" spans="1:9" ht="15" customHeight="1" x14ac:dyDescent="0.35">
      <c r="A2" s="4" t="s">
        <v>2</v>
      </c>
      <c r="B2" s="3" t="s">
        <v>3</v>
      </c>
      <c r="C2" s="3"/>
      <c r="D2" s="3"/>
      <c r="E2" s="3"/>
      <c r="F2" s="3"/>
      <c r="G2" s="3"/>
      <c r="H2" s="3"/>
      <c r="I2" s="3"/>
    </row>
    <row r="3" spans="1:9" ht="15" customHeight="1" x14ac:dyDescent="0.35">
      <c r="A3" s="4" t="s">
        <v>4</v>
      </c>
      <c r="B3" s="3" t="s">
        <v>5</v>
      </c>
      <c r="C3" s="3"/>
      <c r="D3" s="3"/>
      <c r="E3" s="3"/>
      <c r="F3" s="3"/>
      <c r="G3" s="3"/>
      <c r="H3" s="3"/>
      <c r="I3" s="3"/>
    </row>
    <row r="4" spans="1:9" ht="15" customHeight="1" x14ac:dyDescent="0.35">
      <c r="A4" s="4" t="s">
        <v>6</v>
      </c>
      <c r="B4" s="3" t="s">
        <v>7</v>
      </c>
      <c r="C4" s="3"/>
      <c r="D4" s="3"/>
      <c r="E4" s="3"/>
      <c r="F4" s="3"/>
      <c r="G4" s="3"/>
      <c r="H4" s="3"/>
      <c r="I4" s="3"/>
    </row>
    <row r="5" spans="1:9" ht="15" customHeight="1" x14ac:dyDescent="0.35">
      <c r="A5" s="4" t="s">
        <v>8</v>
      </c>
      <c r="B5" s="3" t="s">
        <v>9</v>
      </c>
      <c r="C5" s="3"/>
      <c r="D5" s="3"/>
      <c r="E5" s="3"/>
      <c r="F5" s="3"/>
      <c r="G5" s="3"/>
      <c r="H5" s="3"/>
      <c r="I5" s="3"/>
    </row>
    <row r="6" spans="1:9" ht="55.5" customHeight="1" x14ac:dyDescent="0.35">
      <c r="A6" s="4" t="s">
        <v>10</v>
      </c>
      <c r="B6" s="3" t="s">
        <v>11</v>
      </c>
      <c r="C6" s="3"/>
      <c r="D6" s="3"/>
      <c r="E6" s="3"/>
      <c r="F6" s="3"/>
      <c r="G6" s="3"/>
      <c r="H6" s="3"/>
      <c r="I6" s="3"/>
    </row>
    <row r="7" spans="1:9" ht="42" customHeight="1" x14ac:dyDescent="0.35">
      <c r="A7" s="4" t="s">
        <v>12</v>
      </c>
      <c r="B7" s="3" t="s">
        <v>83</v>
      </c>
      <c r="C7" s="3"/>
      <c r="D7" s="3"/>
      <c r="E7" s="3"/>
      <c r="F7" s="3"/>
      <c r="G7" s="3"/>
      <c r="H7" s="3"/>
      <c r="I7" s="3"/>
    </row>
    <row r="9" spans="1:9" ht="19.5" customHeight="1" x14ac:dyDescent="0.3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 t="s">
        <v>21</v>
      </c>
    </row>
    <row r="10" spans="1:9" ht="42" customHeight="1" x14ac:dyDescent="0.35">
      <c r="A10" s="7" t="s">
        <v>22</v>
      </c>
      <c r="B10" s="7" t="s">
        <v>23</v>
      </c>
      <c r="C10" s="7" t="s">
        <v>24</v>
      </c>
      <c r="D10" s="7" t="s">
        <v>25</v>
      </c>
      <c r="E10" s="7" t="s">
        <v>26</v>
      </c>
      <c r="F10" s="7" t="s">
        <v>27</v>
      </c>
      <c r="G10" s="7" t="s">
        <v>28</v>
      </c>
      <c r="H10" s="7" t="s">
        <v>29</v>
      </c>
      <c r="I10" s="7" t="s">
        <v>30</v>
      </c>
    </row>
    <row r="11" spans="1:9" ht="42" customHeight="1" x14ac:dyDescent="0.35">
      <c r="A11" s="7" t="s">
        <v>31</v>
      </c>
      <c r="B11" s="7" t="s">
        <v>23</v>
      </c>
      <c r="C11" s="7" t="s">
        <v>32</v>
      </c>
      <c r="D11" s="7" t="s">
        <v>33</v>
      </c>
      <c r="E11" s="7" t="s">
        <v>34</v>
      </c>
      <c r="F11" s="7" t="s">
        <v>27</v>
      </c>
      <c r="G11" s="7" t="s">
        <v>28</v>
      </c>
      <c r="H11" s="7" t="s">
        <v>29</v>
      </c>
      <c r="I11" s="7" t="s">
        <v>35</v>
      </c>
    </row>
    <row r="12" spans="1:9" ht="42" customHeight="1" x14ac:dyDescent="0.35">
      <c r="A12" s="7" t="s">
        <v>36</v>
      </c>
      <c r="B12" s="7" t="s">
        <v>23</v>
      </c>
      <c r="C12" s="7" t="s">
        <v>37</v>
      </c>
      <c r="D12" s="7" t="s">
        <v>38</v>
      </c>
      <c r="E12" s="7" t="s">
        <v>34</v>
      </c>
      <c r="F12" s="7" t="s">
        <v>27</v>
      </c>
      <c r="G12" s="7" t="s">
        <v>28</v>
      </c>
      <c r="H12" s="7" t="s">
        <v>39</v>
      </c>
      <c r="I12" s="7" t="s">
        <v>40</v>
      </c>
    </row>
    <row r="13" spans="1:9" ht="42" customHeight="1" x14ac:dyDescent="0.35">
      <c r="A13" s="7" t="s">
        <v>41</v>
      </c>
      <c r="B13" s="7" t="s">
        <v>42</v>
      </c>
      <c r="C13" s="7" t="s">
        <v>43</v>
      </c>
      <c r="D13" s="7" t="s">
        <v>44</v>
      </c>
      <c r="E13" s="7" t="s">
        <v>34</v>
      </c>
      <c r="F13" s="7" t="s">
        <v>27</v>
      </c>
      <c r="G13" s="7" t="s">
        <v>28</v>
      </c>
      <c r="H13" s="7" t="s">
        <v>39</v>
      </c>
      <c r="I13" s="7" t="s">
        <v>45</v>
      </c>
    </row>
    <row r="14" spans="1:9" ht="42" customHeight="1" x14ac:dyDescent="0.35">
      <c r="A14" s="7" t="s">
        <v>46</v>
      </c>
      <c r="B14" s="7" t="s">
        <v>23</v>
      </c>
      <c r="C14" s="7" t="s">
        <v>47</v>
      </c>
      <c r="D14" s="7" t="s">
        <v>48</v>
      </c>
      <c r="E14" s="7" t="s">
        <v>34</v>
      </c>
      <c r="F14" s="7" t="s">
        <v>27</v>
      </c>
      <c r="G14" s="7" t="s">
        <v>28</v>
      </c>
      <c r="H14" s="7" t="s">
        <v>39</v>
      </c>
      <c r="I14" s="7" t="s">
        <v>49</v>
      </c>
    </row>
    <row r="15" spans="1:9" ht="42" customHeight="1" x14ac:dyDescent="0.35">
      <c r="A15" s="7" t="s">
        <v>50</v>
      </c>
      <c r="B15" s="7" t="s">
        <v>23</v>
      </c>
      <c r="C15" s="7" t="s">
        <v>51</v>
      </c>
      <c r="D15" s="7" t="s">
        <v>52</v>
      </c>
      <c r="E15" s="7" t="s">
        <v>34</v>
      </c>
      <c r="F15" s="7" t="s">
        <v>27</v>
      </c>
      <c r="G15" s="7" t="s">
        <v>28</v>
      </c>
      <c r="H15" s="7" t="s">
        <v>29</v>
      </c>
      <c r="I15" s="7" t="s">
        <v>53</v>
      </c>
    </row>
    <row r="16" spans="1:9" ht="42" customHeight="1" x14ac:dyDescent="0.35">
      <c r="A16" s="7" t="s">
        <v>54</v>
      </c>
      <c r="B16" s="7" t="s">
        <v>23</v>
      </c>
      <c r="C16" s="7" t="s">
        <v>55</v>
      </c>
      <c r="D16" s="7" t="s">
        <v>56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57</v>
      </c>
    </row>
    <row r="17" spans="1:9" ht="42" customHeight="1" x14ac:dyDescent="0.35">
      <c r="A17" s="7" t="s">
        <v>58</v>
      </c>
      <c r="B17" s="7" t="s">
        <v>42</v>
      </c>
      <c r="C17" s="7" t="s">
        <v>59</v>
      </c>
      <c r="D17" s="7" t="s">
        <v>60</v>
      </c>
      <c r="E17" s="7" t="s">
        <v>61</v>
      </c>
      <c r="F17" s="7" t="s">
        <v>27</v>
      </c>
      <c r="G17" s="7" t="s">
        <v>28</v>
      </c>
      <c r="H17" s="7" t="s">
        <v>29</v>
      </c>
      <c r="I17" s="7" t="s">
        <v>62</v>
      </c>
    </row>
    <row r="18" spans="1:9" ht="42" customHeight="1" x14ac:dyDescent="0.35">
      <c r="A18" s="7" t="s">
        <v>63</v>
      </c>
      <c r="B18" s="7" t="s">
        <v>42</v>
      </c>
      <c r="C18" s="7" t="s">
        <v>64</v>
      </c>
      <c r="D18" s="7" t="s">
        <v>65</v>
      </c>
      <c r="E18" s="7" t="s">
        <v>66</v>
      </c>
      <c r="F18" s="7" t="s">
        <v>27</v>
      </c>
      <c r="G18" s="7" t="s">
        <v>28</v>
      </c>
      <c r="H18" s="7" t="s">
        <v>29</v>
      </c>
      <c r="I18" s="7" t="s">
        <v>67</v>
      </c>
    </row>
  </sheetData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zoomScaleNormal="100" workbookViewId="0">
      <selection activeCell="A15" sqref="A15:B15"/>
    </sheetView>
  </sheetViews>
  <sheetFormatPr defaultColWidth="8.6328125" defaultRowHeight="14.5" x14ac:dyDescent="0.35"/>
  <cols>
    <col min="1" max="1" width="28" customWidth="1"/>
    <col min="2" max="2" width="30" customWidth="1"/>
  </cols>
  <sheetData>
    <row r="1" spans="1:2" ht="16.5" x14ac:dyDescent="0.35">
      <c r="A1" s="2" t="s">
        <v>68</v>
      </c>
      <c r="B1" s="2"/>
    </row>
    <row r="3" spans="1:2" ht="28" x14ac:dyDescent="0.35">
      <c r="A3" s="8" t="s">
        <v>69</v>
      </c>
      <c r="B3" s="5" t="s">
        <v>70</v>
      </c>
    </row>
    <row r="4" spans="1:2" ht="28" x14ac:dyDescent="0.35">
      <c r="A4" s="8" t="s">
        <v>71</v>
      </c>
      <c r="B4" s="5" t="s">
        <v>72</v>
      </c>
    </row>
    <row r="5" spans="1:2" ht="28" x14ac:dyDescent="0.35">
      <c r="A5" s="8" t="s">
        <v>73</v>
      </c>
      <c r="B5" s="5" t="s">
        <v>74</v>
      </c>
    </row>
    <row r="6" spans="1:2" x14ac:dyDescent="0.35">
      <c r="A6" s="8" t="s">
        <v>75</v>
      </c>
      <c r="B6" s="5" t="s">
        <v>7</v>
      </c>
    </row>
    <row r="8" spans="1:2" x14ac:dyDescent="0.35">
      <c r="A8" s="6" t="s">
        <v>76</v>
      </c>
      <c r="B8" s="6" t="s">
        <v>77</v>
      </c>
    </row>
    <row r="9" spans="1:2" x14ac:dyDescent="0.35">
      <c r="A9" s="9" t="s">
        <v>78</v>
      </c>
      <c r="B9" s="10">
        <f>COUNTA('Test Cases'!A10:A18)</f>
        <v>9</v>
      </c>
    </row>
    <row r="10" spans="1:2" x14ac:dyDescent="0.35">
      <c r="A10" s="9" t="s">
        <v>79</v>
      </c>
      <c r="B10" s="10">
        <f>COUNTIF('Test Cases'!G10:G18,"Pass")</f>
        <v>0</v>
      </c>
    </row>
    <row r="11" spans="1:2" x14ac:dyDescent="0.35">
      <c r="A11" s="9" t="s">
        <v>80</v>
      </c>
      <c r="B11" s="10">
        <f>COUNTIF('Test Cases'!G10:G18,"Fail")</f>
        <v>0</v>
      </c>
    </row>
    <row r="12" spans="1:2" x14ac:dyDescent="0.35">
      <c r="A12" s="9" t="s">
        <v>81</v>
      </c>
      <c r="B12" s="10">
        <f>COUNTIF('Test Cases'!G10:G18,"Not Executed")</f>
        <v>9</v>
      </c>
    </row>
    <row r="13" spans="1:2" x14ac:dyDescent="0.35">
      <c r="A13" s="9" t="s">
        <v>82</v>
      </c>
      <c r="B13" s="11">
        <f>IFERROR(B10/B9,0)</f>
        <v>0</v>
      </c>
    </row>
    <row r="15" spans="1:2" ht="30" customHeight="1" x14ac:dyDescent="0.35">
      <c r="A15" s="1"/>
      <c r="B15" s="1"/>
    </row>
  </sheetData>
  <mergeCells count="2">
    <mergeCell ref="A1:B1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2026-08-24T14:26:17Z</dcterms:created>
  <dcterms:modified xsi:type="dcterms:W3CDTF">2026-08-25T02:51:16Z</dcterms:modified>
  <dc:language>en-US</dc:language>
</cp:coreProperties>
</file>