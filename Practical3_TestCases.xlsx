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Y MATERIAL BCA\SEM-3\Software Testing\PR\"/>
    </mc:Choice>
  </mc:AlternateContent>
  <xr:revisionPtr revIDLastSave="0" documentId="13_ncr:1_{D5BD86BE-991A-4C1E-9AF6-B91D0EFF32A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view Test Cases" sheetId="1" r:id="rId1"/>
    <sheet name="Summary" sheetId="2" r:id="rId2"/>
  </sheets>
  <definedNames>
    <definedName name="_xlnm._FilterDatabase" localSheetId="0" hidden="1">'Review Test Cases'!$A$11:$M$41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2" l="1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C8" i="2"/>
  <c r="B8" i="2"/>
  <c r="C7" i="2"/>
  <c r="B7" i="2"/>
  <c r="B6" i="2"/>
  <c r="C6" i="2" s="1"/>
  <c r="B4" i="2"/>
</calcChain>
</file>

<file path=xl/sharedStrings.xml><?xml version="1.0" encoding="utf-8"?>
<sst xmlns="http://schemas.openxmlformats.org/spreadsheetml/2006/main" count="442" uniqueCount="269">
  <si>
    <t>PRACTICAL 3 — REQUIREMENT REVIEW &amp; INSPECTION TEST SUITE</t>
  </si>
  <si>
    <t>Static Testing — Requirement Review, Inspection, Validation, Traceability &amp; Coverage — Login Module, practice.expandtesting.com</t>
  </si>
  <si>
    <t>Application Under Review:</t>
  </si>
  <si>
    <t>Expand Testing — Practice Login Page (https://practice.expandtesting.com/login)</t>
  </si>
  <si>
    <t>Review Scope:</t>
  </si>
  <si>
    <t>Login Module — reconstructed requirements R001–R007 (no formal SRS supplied by the source application)</t>
  </si>
  <si>
    <t>Prepared By:</t>
  </si>
  <si>
    <t>Review Technique:</t>
  </si>
  <si>
    <t>Static Testing — Requirement Review, Formal Inspection, Requirement Validation, Traceability &amp; Coverage Audit</t>
  </si>
  <si>
    <t>Baseline Source:</t>
  </si>
  <si>
    <t>Practical 3 Requirement Review, Structured Walkthrough, Formal Inspection &amp; Peer Review (prior artifact)</t>
  </si>
  <si>
    <t>Cross-Referenced Artifact:</t>
  </si>
  <si>
    <t>Practical2_TestCases.xlsx — 30 executed Login test cases (TC_LOGIN_01–TC_LOGIN_30)</t>
  </si>
  <si>
    <t>Date:</t>
  </si>
  <si>
    <t>28-Jul-2026</t>
  </si>
  <si>
    <t>Review Case ID</t>
  </si>
  <si>
    <t>Requirement ID</t>
  </si>
  <si>
    <t>Review Category</t>
  </si>
  <si>
    <t>Priority</t>
  </si>
  <si>
    <t>Severity</t>
  </si>
  <si>
    <t>Review Criteria Checked</t>
  </si>
  <si>
    <t>Artifact / Input Reviewed</t>
  </si>
  <si>
    <t>Review Steps</t>
  </si>
  <si>
    <t>Expected Result</t>
  </si>
  <si>
    <t>Actual Finding</t>
  </si>
  <si>
    <t>Status</t>
  </si>
  <si>
    <t>Reviewer Type</t>
  </si>
  <si>
    <t>Remarks</t>
  </si>
  <si>
    <t>RR_01</t>
  </si>
  <si>
    <t>R001</t>
  </si>
  <si>
    <t>Requirement Review</t>
  </si>
  <si>
    <t>High</t>
  </si>
  <si>
    <t>Low</t>
  </si>
  <si>
    <t>Completeness, Testability</t>
  </si>
  <si>
    <t>Reconstructed statement: 'The system shall authenticate a user and redirect to the secure area when the correct username and password are submitted.'</t>
  </si>
  <si>
    <t>1. Read the requirement statement in isolation
2. Check it states a single, unambiguous outcome
3. Check it is directly verifiable by one test case</t>
  </si>
  <si>
    <t>Requirement is complete, has one clear outcome, and is directly testable without needing clarification</t>
  </si>
  <si>
    <t>Requirement is clear and single-outcome; maps cleanly to one test case (TC_LOGIN_01) with no ambiguity</t>
  </si>
  <si>
    <t>Pass</t>
  </si>
  <si>
    <t>Primary Reviewer</t>
  </si>
  <si>
    <t>No action needed</t>
  </si>
  <si>
    <t>RR_02</t>
  </si>
  <si>
    <t>R002</t>
  </si>
  <si>
    <t>Clarity</t>
  </si>
  <si>
    <t>Reconstructed statement: 'The system shall reject the login attempt and display an error message when the username does not match a known account.'</t>
  </si>
  <si>
    <t>1. Read the requirement statement
2. Check the expected error condition is specific rather than generic
3. Check wording does not overlap with R003</t>
  </si>
  <si>
    <t>Requirement clearly specifies a username-mismatch condition with a distinguishable error outcome</t>
  </si>
  <si>
    <t>Wording is specific; observed message 'Invalid username.' is field-specific and distinct from the password-failure case</t>
  </si>
  <si>
    <t>RR_03</t>
  </si>
  <si>
    <t>R003</t>
  </si>
  <si>
    <t>Clarity, Consistency</t>
  </si>
  <si>
    <t>Reconstructed statement: 'The system shall reject the login attempt and display an error message when the password does not match the given username.'</t>
  </si>
  <si>
    <t>1. Read the requirement statement
2. Check wording is consistent in structure with R002
3. Verify the two requirements do not collapse into a single generic error condition</t>
  </si>
  <si>
    <t>Requirement is worded consistently with R002 and preserves a distinct, field-specific outcome</t>
  </si>
  <si>
    <t>Wording mirrors R002's structure; observed message 'Invalid password.' remains distinct, avoiding a generic combined error</t>
  </si>
  <si>
    <t>RR_04</t>
  </si>
  <si>
    <t>R004</t>
  </si>
  <si>
    <t>Completeness</t>
  </si>
  <si>
    <t>Inferred behaviour only: direct navigation to /secure while unauthenticated appears to be blocked, but no requirement statement documents this</t>
  </si>
  <si>
    <t>1. Search for a documented requirement covering protected-route access control
2. If none exists, confirm the behaviour is only inferable through manual exploration
3. Record as a completeness gap</t>
  </si>
  <si>
    <t>A requirement statement should exist defining that unauthenticated users must be denied access to /secure</t>
  </si>
  <si>
    <t>No such requirement statement exists anywhere in the available documentation; the protective behaviour was found only by direct manual exploration</t>
  </si>
  <si>
    <t>Fail</t>
  </si>
  <si>
    <t>Completeness gap — logged as RVW-GAP-01; recommend authoring an explicit R004 requirement statement</t>
  </si>
  <si>
    <t>RR_05</t>
  </si>
  <si>
    <t>R005</t>
  </si>
  <si>
    <t>Medium</t>
  </si>
  <si>
    <t>Reconstructed statement: 'The system shall provide a mechanism to end an authenticated session (Logout).'</t>
  </si>
  <si>
    <t>1. Read the requirement statement
2. Confirm the Logout mechanism is observable and reachable from the authenticated state
3. Confirm the requirement is directly testable</t>
  </si>
  <si>
    <t>Requirement clearly describes an observable, testable session-termination mechanism</t>
  </si>
  <si>
    <t>Logout control is reachable from /secure and its behaviour (return to /login) is directly observable and testable</t>
  </si>
  <si>
    <t>RR_06</t>
  </si>
  <si>
    <t>R006</t>
  </si>
  <si>
    <t>Inferred behaviour only: no documented policy for repeated failed login attempts</t>
  </si>
  <si>
    <t>1. Search for a documented account-lockout or complexity policy
2. If none exists, attempt repeated failed logins to see if any policy manifests behaviourally
3. Record as a completeness gap if neither exists</t>
  </si>
  <si>
    <t>A requirement statement should exist defining any lockout, throttling, or complexity policy — including an explicit statement that no such policy applies, if that is the design intent</t>
  </si>
  <si>
    <t>No documented policy exists and no lockout/throttling behaviour was observed after repeated failed attempts (consistent with Practical 2, TC_LOGIN_23); the requirement is effectively undefined rather than deliberately 'none'</t>
  </si>
  <si>
    <t>Completeness gap — logged as RVW-GAP-02; recommend an explicit statement, even if the decision is 'no lockout for this practice environment'</t>
  </si>
  <si>
    <t>RR_07</t>
  </si>
  <si>
    <t>R007</t>
  </si>
  <si>
    <t>Reconstructed statement: 'The system shall treat the username field consistently with respect to case sensitivity.'</t>
  </si>
  <si>
    <t>1. Read the requirement statement
2. Search for any documentation stating whether username matching is case-sensitive or case-insensitive
3. Cross-check against Practical 2, TC_LOGIN_04 behavioural finding</t>
  </si>
  <si>
    <t>Requirement should state explicitly whether username comparison is case-sensitive or case-insensitive</t>
  </si>
  <si>
    <t>No statement of case-sensitivity exists anywhere; behaviour was only established empirically in Practical 2 (TC_LOGIN_04 confirmed case-sensitive matching), which a requirement reviewer should not need to reverse-engineer</t>
  </si>
  <si>
    <t>Ambiguity — logged as RVW-AMB-01; requirement wording does not commit to an explicit rule</t>
  </si>
  <si>
    <t>INSP_01</t>
  </si>
  <si>
    <t>Requirement Inspection</t>
  </si>
  <si>
    <t>Is a success condition defined and observable for the primary login flow?</t>
  </si>
  <si>
    <t>Formal authentication-module inspection checklist, Item 1</t>
  </si>
  <si>
    <t>1. Apply checklist Item 1 against R001
2. Confirm a success condition is both stated and independently observable</t>
  </si>
  <si>
    <t>Checklist item scores Pass — success condition is explicit and observable</t>
  </si>
  <si>
    <t>R001 confirmed via redirect to /secure plus a visible success message; checklist item scores Pass</t>
  </si>
  <si>
    <t>Formal Inspector (Checklist-Driven)</t>
  </si>
  <si>
    <t>-</t>
  </si>
  <si>
    <t>INSP_02</t>
  </si>
  <si>
    <t>R002 / R003</t>
  </si>
  <si>
    <t>Is a distinct failure condition defined for each type of invalid input (username vs password)?</t>
  </si>
  <si>
    <t>Formal authentication-module inspection checklist, Item 2</t>
  </si>
  <si>
    <t>1. Apply checklist Item 2 against R002 and R003 jointly
2. Confirm the two failure conditions remain distinguishable rather than collapsing into one generic message</t>
  </si>
  <si>
    <t>Checklist item scores Pass — field-specific failure conditions are defined for both cases</t>
  </si>
  <si>
    <t>Confirms R002/R003; messages are field-specific ('Invalid username.' vs 'Invalid password.'); checklist item scores Pass</t>
  </si>
  <si>
    <t>INSP_03</t>
  </si>
  <si>
    <t>Is unauthorized access to protected resources explicitly prevented and documented?</t>
  </si>
  <si>
    <t>Formal authentication-module inspection checklist, Item 3</t>
  </si>
  <si>
    <t>1. Apply checklist Item 3 against R004
2. Separate the behavioural question (is access actually blocked?) from the documentation question (is it written down?)</t>
  </si>
  <si>
    <t>Checklist item scores Pass only if both the behaviour is protective and a requirement documents it</t>
  </si>
  <si>
    <t>Behaviour observed as protective, but no explicit requirement exists for a reviewer to check it against; checklist item scores Fail on documentation grounds despite sound behaviour</t>
  </si>
  <si>
    <t>Documentation-only Fail, not a functional defect — logged as RVW-GAP-01 (same root cause as RR_04)</t>
  </si>
  <si>
    <t>INSP_04</t>
  </si>
  <si>
    <t>Is an account-lockout or rate-limiting policy defined for repeated failed attempts?</t>
  </si>
  <si>
    <t>Formal authentication-module inspection checklist, Item 4</t>
  </si>
  <si>
    <t>1. Apply checklist Item 4 against R006
2. Confirm whether any policy — defined or explicitly 'none' — is documented</t>
  </si>
  <si>
    <t>Checklist item scores Pass if a policy (including a documented 'no lockout' decision) exists</t>
  </si>
  <si>
    <t>No policy found in any form; checklist item scores Fail — acceptable outcome for a practice sandbox, but the absence should still be a documented decision</t>
  </si>
  <si>
    <t>Same root cause as RR_06 (RVW-GAP-02)</t>
  </si>
  <si>
    <t>INSP_05</t>
  </si>
  <si>
    <t>Is a session-termination (Logout) mechanism defined and reachable from the authenticated state?</t>
  </si>
  <si>
    <t>Formal authentication-module inspection checklist, Item 5</t>
  </si>
  <si>
    <t>1. Apply checklist Item 5 against R005
2. Confirm the mechanism is both defined and reachable in the observed UI</t>
  </si>
  <si>
    <t>Checklist item scores Pass — Logout is defined and reachable</t>
  </si>
  <si>
    <t>Confirms R005; Logout control is present and reachable from /secure; checklist item scores Pass</t>
  </si>
  <si>
    <t>INSP_06</t>
  </si>
  <si>
    <t>Are error messages field-specific rather than generic, without revealing sensitive account detail?</t>
  </si>
  <si>
    <t>Formal authentication-module inspection checklist, Item 6</t>
  </si>
  <si>
    <t>1. Apply checklist Item 6 against the observed error messaging
2. Weigh usability (field-specific messages) against the security cost (account enumeration)</t>
  </si>
  <si>
    <t>Checklist item scores Pass only if field-specificity does not create a security trade-off worth flagging</t>
  </si>
  <si>
    <t>Field-specific messaging is good for usability, but distinguishing 'Invalid username' from 'Invalid password' is a minor account-enumeration consideration; checklist item scores Partial</t>
  </si>
  <si>
    <t>Partial</t>
  </si>
  <si>
    <t>Improvement suggested, not a functional defect — see AMB_03</t>
  </si>
  <si>
    <t>INSP_07</t>
  </si>
  <si>
    <t>Is username case-sensitivity behaviour explicitly documented?</t>
  </si>
  <si>
    <t>Formal authentication-module inspection checklist, Item 7</t>
  </si>
  <si>
    <t>1. Apply checklist Item 7 against R007
2. Search all available documentation for an explicit case-sensitivity statement</t>
  </si>
  <si>
    <t>Checklist item scores Pass if case-sensitivity is explicitly stated anywhere</t>
  </si>
  <si>
    <t>No documentation found; checklist item scores Fail; same root cause flagged in RR_07 (RVW-AMB-01)</t>
  </si>
  <si>
    <t>INSP_08</t>
  </si>
  <si>
    <t>R001–R007</t>
  </si>
  <si>
    <t>Do the published test-case scenarios cover all stated requirements?</t>
  </si>
  <si>
    <t>Formal authentication-module inspection checklist, Item 8; application's own published test-case documentation (3 scenarios)</t>
  </si>
  <si>
    <t>1. Apply checklist Item 8 across all seven reconstructed requirements
2. Cross-check the application's own 3 published scenarios (valid login, invalid username, invalid password) against R001–R007</t>
  </si>
  <si>
    <t>Checklist item scores Pass only if every requirement has at least one corresponding published scenario</t>
  </si>
  <si>
    <t>Published scenarios cover R001–R003 only; no scenario exists for R004–R007; checklist item scores Partial (covers the requirements that do exist, but the coverage gap itself is real)</t>
  </si>
  <si>
    <t>Directly feeds COV_02 and TRACE_01 below</t>
  </si>
  <si>
    <t>VAL_01</t>
  </si>
  <si>
    <t>R001 / R002 / R003 / R005</t>
  </si>
  <si>
    <t>Requirement Validation</t>
  </si>
  <si>
    <t>Behavioural conformance to the reconstructed requirement statement</t>
  </si>
  <si>
    <t>Live application behaviour at https://practice.expandtesting.com/login and /secure</t>
  </si>
  <si>
    <t>1. For each of R001, R002, R003 and R005, re-derive the expected behaviour purely from the requirement wording
2. Exercise the live application (cross-referencing Practical 2 TC_LOGIN_01, 03, 05, 19)
3. Confirm the observed behaviour matches the derived expectation with no interpretation required</t>
  </si>
  <si>
    <t>Observed application behaviour matches the requirement wording exactly for all four requirements, with no gap between what is written and what is implemented</t>
  </si>
  <si>
    <t>All four requirements validated successfully; behaviour matched the reconstructed wording exactly with no discrepancy</t>
  </si>
  <si>
    <t>Primary Reviewer (Behavioural Cross-Check)</t>
  </si>
  <si>
    <t>Confirms the four 'Adequate' requirements from RR_01–RR_07 also hold up under direct validation</t>
  </si>
  <si>
    <t>VAL_02</t>
  </si>
  <si>
    <t>R004 / R006 / R007</t>
  </si>
  <si>
    <t>Behavioural conformance to a requirement statement</t>
  </si>
  <si>
    <t>Live application behaviour; absence of a requirement statement for R004, R006, R007</t>
  </si>
  <si>
    <t>1. Attempt to validate observed behaviour against R004, R006 and R007
2. Note that validation requires a requirement statement to validate against</t>
  </si>
  <si>
    <t>Each requirement should be validatable — i.e. a stated expectation exists to compare observed behaviour to</t>
  </si>
  <si>
    <t>Validation could not be meaningfully performed for any of the three: there is no requirement text to validate the observed behaviour against, only inferred/assumed behaviour</t>
  </si>
  <si>
    <t>Not a behavioural defect — a validation-process defect caused by missing requirement statements; reinforces RR_04, RR_06, RR_07</t>
  </si>
  <si>
    <t>TRACE_01</t>
  </si>
  <si>
    <t>Requirement Traceability</t>
  </si>
  <si>
    <t>Forward traceability — every requirement maps to at least one test case</t>
  </si>
  <si>
    <t>RTM (Practical 2 Test Plan) and Practical2_TestCases.xlsx (TC_LOGIN_01–TC_LOGIN_30)</t>
  </si>
  <si>
    <t>1. List all seven requirements R001–R007
2. For each, search Practical2_TestCases.xlsx for at least one test case whose Requirement ID matches
3. Record which requirements have zero matching test cases</t>
  </si>
  <si>
    <t>All seven requirements have at least one corresponding, mapped test case in the RTM/test suite</t>
  </si>
  <si>
    <t>R001–R006 and portions of R007 (via the extended Practical 2 suite) do have mapped test cases; however, this traceability exists only because Practical 2 independently extended coverage — the original RTM referenced in this review's own source material maps only R001–R006, with R004 and R006 traced to inferred rather than documented requirements</t>
  </si>
  <si>
    <t>QA Lead (RTM Audit)</t>
  </si>
  <si>
    <t>Forward traceability is structurally complete after Practical 2's extension, but only R001, R002, R003 and R005 trace to a fully documented (non-gap) requirement; logged as RVW-TRACE-01</t>
  </si>
  <si>
    <t>TRACE_02</t>
  </si>
  <si>
    <t>All (R001–R007)</t>
  </si>
  <si>
    <t>Backward traceability — every test case maps to a valid, existing requirement ID (no orphan test cases)</t>
  </si>
  <si>
    <t>Practical2_TestCases.xlsx (30 test cases, TC_LOGIN_01–TC_LOGIN_30)</t>
  </si>
  <si>
    <t>1. List all 30 test case IDs from Practical2_TestCases.xlsx
2. For each, confirm its Requirement ID column references a requirement that exists in this review's R001–R007 set
3. Flag any test case referencing an undefined requirement</t>
  </si>
  <si>
    <t>Every test case traces back to one of the seven defined requirement IDs; no orphan test cases exist</t>
  </si>
  <si>
    <t>All 30 test cases reference a valid Requirement ID (R001–R016 in the Practical 2 suite, extending R001–R007 with additional non-functional requirement IDs); no orphaned test case was found</t>
  </si>
  <si>
    <t>Confirms backward traceability integrity of the Practical 2 suite</t>
  </si>
  <si>
    <t>COV_01</t>
  </si>
  <si>
    <t>Coverage Verification</t>
  </si>
  <si>
    <t>Requirement has at least one executed, Pass-status test case</t>
  </si>
  <si>
    <t>Practical2_TestCases.xlsx execution results</t>
  </si>
  <si>
    <t>1. For R001, R002, R003 and R005, retrieve all mapped test cases
2. Confirm at least one is both executed and Pass-status</t>
  </si>
  <si>
    <t>Each of the four requirements is backed by at least one executed Pass test case</t>
  </si>
  <si>
    <t>R001 (TC_LOGIN_01/02), R002 (TC_LOGIN_03/04), R003 (TC_LOGIN_05/06) and R005 (TC_LOGIN_19) each have multiple executed Pass-status test cases</t>
  </si>
  <si>
    <t>Coverage confirmed for all 'Adequate' requirements</t>
  </si>
  <si>
    <t>COV_02</t>
  </si>
  <si>
    <t>Requirement has at least one test case explicitly designed against its own documented statement</t>
  </si>
  <si>
    <t>Requirement Review findings (RR_04, RR_06, RR_07) and Practical2_TestCases.xlsx</t>
  </si>
  <si>
    <t>1. For R004, R006 and R007, check whether a test case exists that was designed from a documented requirement statement (as opposed to inferred behaviour)
2. Distinguish 'a test case that happens to touch this area' from 'a test case that verifies a written requirement'</t>
  </si>
  <si>
    <t>Each requirement should be covered by a test case that traces to a written, reviewed requirement statement, not to tester-inferred behaviour</t>
  </si>
  <si>
    <t>TC_LOGIN_21 (R004), TC_LOGIN_23 (R006) and TC_LOGIN_04 (R007) do exercise the relevant behaviour, but were designed from inferred behaviour rather than a documented requirement — coverage exists in practice but not in the sense the checklist item intends</t>
  </si>
  <si>
    <t>Coverage gap is at the requirement-authoring level, not the test-design level; logged as RVW-GAP-03</t>
  </si>
  <si>
    <t>MISS_01</t>
  </si>
  <si>
    <t>Missing Requirements</t>
  </si>
  <si>
    <t>Existence of a documented requirement for protected-route access control</t>
  </si>
  <si>
    <t>Full available documentation set for the Login module (this review's own source material)</t>
  </si>
  <si>
    <t>1. Search all available documentation for a requirement covering /secure route protection
2. Confirm none exists
3. Record as a missing requirement rather than a behavioural defect</t>
  </si>
  <si>
    <t>A requirement documenting that /secure must reject unauthenticated access should exist</t>
  </si>
  <si>
    <t>No such requirement exists in any reviewed document; behaviour is protective but undocumented</t>
  </si>
  <si>
    <t>Peer Reviewer</t>
  </si>
  <si>
    <t>Missing requirement — recommend authoring R004 explicitly (see Recommendations)</t>
  </si>
  <si>
    <t>MISS_02</t>
  </si>
  <si>
    <t>Existence of a documented account-lockout or complexity policy</t>
  </si>
  <si>
    <t>Full available documentation set for the Login module</t>
  </si>
  <si>
    <t>1. Search all available documentation for a lockout, rate-limiting or password-complexity policy
2. Confirm none exists
3. Record as a missing requirement</t>
  </si>
  <si>
    <t>A requirement documenting the intended lockout/complexity policy (even if 'none') should exist</t>
  </si>
  <si>
    <t>No such requirement exists; the absence of a lockout mechanism is unstated rather than a deliberate, recorded decision</t>
  </si>
  <si>
    <t>Missing requirement — recommend authoring R006 explicitly, even if the policy is 'not applicable'</t>
  </si>
  <si>
    <t>MISS_03</t>
  </si>
  <si>
    <t>R008 (Proposed)</t>
  </si>
  <si>
    <t>Existence of a documented session-expiry / timeout requirement</t>
  </si>
  <si>
    <t>Full available documentation set for the Login module; Practical 2 TC_LOGIN_22 (Browser Refresh) finding</t>
  </si>
  <si>
    <t>1. Search all available documentation for a stated session-timeout or idle-expiry duration
2. Cross-check against the observed session-persistence behaviour confirmed in Practical 2 (TC_LOGIN_22)
3. Record as a missing requirement if no duration or expiry policy is documented</t>
  </si>
  <si>
    <t>A requirement should state how long an authenticated session remains valid without activity, and what happens on expiry</t>
  </si>
  <si>
    <t>No session-timeout or expiry duration is documented anywhere; the session was observed to persist across a manual refresh, but no upper bound or expiry behaviour is defined</t>
  </si>
  <si>
    <t>New gap identified during this review cycle (not present in the original seven) — recommend authoring a proposed R008; logged as RVW-GAP-04</t>
  </si>
  <si>
    <t>AMB_01</t>
  </si>
  <si>
    <t>Ambiguous Requirements</t>
  </si>
  <si>
    <t>Explicit statement of case-sensitivity behaviour</t>
  </si>
  <si>
    <t>R007 reconstructed statement and Practical 2 TC_LOGIN_04 finding</t>
  </si>
  <si>
    <t>1. Read R007's wording ('treat the username field consistently with respect to case sensitivity')
2. Determine whether 'consistently' resolves to case-sensitive or case-insensitive matching
3. Confirm the requirement text alone cannot answer this</t>
  </si>
  <si>
    <t>Requirement wording should resolve to one explicit, unambiguous matching rule</t>
  </si>
  <si>
    <t>Wording only asserts internal consistency, not which rule is followed; the actual rule (case-sensitive) was established solely through empirical testing in Practical 2</t>
  </si>
  <si>
    <t>Same finding as RR_07/INSP_07 (RVW-AMB-01); listed separately here for the Ambiguous Requirements category</t>
  </si>
  <si>
    <t>AMB_02</t>
  </si>
  <si>
    <t>Explicit statement of session-invalidation scope on Logout</t>
  </si>
  <si>
    <t>R005 reconstructed statement and Practical 2 TC_LOGIN_20 (Session Validation / Browser Back) finding</t>
  </si>
  <si>
    <t>1. Read R005's wording ('provide a mechanism to end an authenticated session')
2. Determine whether this requires server-side session invalidation, client-side redirect only, or both
3. Cross-check against the Practical 2 finding that a cached /secure view briefly remained visible via the browser Back button after logout</t>
  </si>
  <si>
    <t>Requirement should explicitly state whether Logout invalidates the session server-side, not just redirects the client</t>
  </si>
  <si>
    <t>Wording is silent on server-side vs client-side scope; Practical 2 testing found the server-side session was ultimately enforced on the next request, but this guarantee is not written anywhere as a requirement</t>
  </si>
  <si>
    <t>New ambiguity identified during this review cycle — logged as RVW-AMB-02; recommend clarifying R005 to state the invalidation is server-side and authoritative</t>
  </si>
  <si>
    <t>AMB_03</t>
  </si>
  <si>
    <t>Security implication of field-specific error message wording</t>
  </si>
  <si>
    <t>R002/R003 reconstructed statements and the Peer Review finding on account enumeration</t>
  </si>
  <si>
    <t>1. Read R002 and R003 together
2. Determine whether the requirements anticipate the account-enumeration trade-off created by distinguishing 'Invalid username' from 'Invalid password'
3. Confirm this trade-off is not addressed anywhere in the requirement wording</t>
  </si>
  <si>
    <t>Requirement should either accept the account-enumeration trade-off explicitly or specify a generic combined error message to avoid it</t>
  </si>
  <si>
    <t>Neither requirement addresses the trade-off; the field-specific messages are good for usability but were independently flagged by the peer reviewer as a minor, undocumented security consideration</t>
  </si>
  <si>
    <t>Improvement suggested, not a functional defect — consistent with the source Peer Review's own resolution; recommend documenting this as a deliberate, reviewed decision</t>
  </si>
  <si>
    <t>AC_01</t>
  </si>
  <si>
    <t>Acceptance Criteria</t>
  </si>
  <si>
    <t>Requirement resolves to a clear, testable acceptance criterion (Given/When/Then derivable)</t>
  </si>
  <si>
    <t>R001–R003, R005 reconstructed statements</t>
  </si>
  <si>
    <t>1. For each of the four 'Adequate' requirements, attempt to phrase a Given/When/Then acceptance criterion directly from the requirement wording
2. Confirm no additional assumption is needed to complete the criterion</t>
  </si>
  <si>
    <t>Each requirement should convert directly into one unambiguous acceptance criterion with no missing inputs</t>
  </si>
  <si>
    <t>All four requirements converted cleanly (e.g. R001: Given valid credentials, When submitted, Then the user is redirected to /secure with a success message) with no gaps</t>
  </si>
  <si>
    <t>AC_02</t>
  </si>
  <si>
    <t>Acceptance criteria exist for security/edge-case behaviour beyond the three published scenarios</t>
  </si>
  <si>
    <t>Application's own published test-case documentation (3 scenarios only) vs. Practical 2's extended 30-case suite</t>
  </si>
  <si>
    <t>1. Check whether any acceptance criteria are documented at the requirement level for SQL injection resistance, XSS resistance, empty-field handling, or boundary-length handling
2. Confirm these behaviours exist only as tester-authored test cases (Practical 2), not as traceable requirements</t>
  </si>
  <si>
    <t>Security and edge-case behaviours exercised in testing should trace back to a documented acceptance criterion, not exist purely as tester-invented scenarios</t>
  </si>
  <si>
    <t>No acceptance criteria exist at the requirement level for any security or boundary scenario; all 12 of the SQL Injection / XSS / Special Character / Length test cases in Practical 2 were authored from tester judgement alone, with no requirement to trace back to</t>
  </si>
  <si>
    <t>Acceptance-criteria gap — logged as RVW-GAP-05; recommend retroactively documenting minimum security/edge acceptance criteria for the Login module</t>
  </si>
  <si>
    <t>AC_03</t>
  </si>
  <si>
    <t>N/A — Process-Level</t>
  </si>
  <si>
    <t>Existence of documented exit criteria / Definition of Done for closing this review cycle</t>
  </si>
  <si>
    <t>This review's own findings (RR_01–RR_07, INSP_01–INSP_08) and the Practical 2 Test Plan</t>
  </si>
  <si>
    <t>1. Check whether any document states what must happen before the Fail/Partial items from this review are considered resolved
2. Confirm whether a re-review or sign-off step is defined</t>
  </si>
  <si>
    <t>A stated exit criterion (e.g. 'all Fail-status review items must be converted to documented, Pass-status requirements before the next release') should exist</t>
  </si>
  <si>
    <t>No formal exit criteria or Definition of Done is documented for this review cycle; closure currently relies on this report's Recommendations section rather than a binding process gate</t>
  </si>
  <si>
    <t>Process gap — logged as RVW-GAP-06; recommend the QA Lead formally adopt the Recommendations in Section 10 of the Test Report as binding exit criteria</t>
  </si>
  <si>
    <t>PRACTICAL 3 — REVIEW EXECUTION SUMMARY</t>
  </si>
  <si>
    <t>Application:</t>
  </si>
  <si>
    <t>practice.expandtesting.com/login (Login Module)</t>
  </si>
  <si>
    <t>Total Review Cases:</t>
  </si>
  <si>
    <t>Count</t>
  </si>
  <si>
    <t>% of Total</t>
  </si>
  <si>
    <t>Total</t>
  </si>
  <si>
    <t xml:space="preserve">Abhishek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</si>
</sst>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Times New Roman"/>
      <charset val="1"/>
    </font>
    <font>
      <sz val="11"/>
      <color rgb="FFFFFFFF"/>
      <name val="Times New Roman"/>
      <charset val="1"/>
    </font>
    <font>
      <b/>
      <sz val="10"/>
      <color rgb="FF1F3864"/>
      <name val="Times New Roman"/>
      <charset val="1"/>
    </font>
    <font>
      <sz val="10"/>
      <color rgb="FF000000"/>
      <name val="Times New Roman"/>
      <charset val="1"/>
    </font>
    <font>
      <b/>
      <sz val="10"/>
      <color rgb="FFFFFFFF"/>
      <name val="Times New Roman"/>
      <charset val="1"/>
    </font>
    <font>
      <sz val="9"/>
      <color rgb="FF000000"/>
      <name val="Times New Roman"/>
      <charset val="1"/>
    </font>
    <font>
      <b/>
      <sz val="9"/>
      <name val="Times New Roman"/>
      <charset val="1"/>
    </font>
    <font>
      <b/>
      <sz val="14"/>
      <color rgb="FFFFFFFF"/>
      <name val="Times New Roman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FFEB9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showGridLines="0"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5" sqref="D5:M5"/>
    </sheetView>
  </sheetViews>
  <sheetFormatPr defaultColWidth="8.6328125" defaultRowHeight="14.5" x14ac:dyDescent="0.35"/>
  <cols>
    <col min="1" max="1" width="11" customWidth="1"/>
    <col min="2" max="2" width="16" customWidth="1"/>
    <col min="3" max="3" width="20" customWidth="1"/>
    <col min="4" max="5" width="9" customWidth="1"/>
    <col min="6" max="7" width="26" customWidth="1"/>
    <col min="8" max="8" width="32" customWidth="1"/>
    <col min="9" max="9" width="30" customWidth="1"/>
    <col min="10" max="10" width="32" customWidth="1"/>
    <col min="11" max="11" width="9" customWidth="1"/>
    <col min="12" max="12" width="22" customWidth="1"/>
    <col min="13" max="13" width="30" customWidth="1"/>
  </cols>
  <sheetData>
    <row r="1" spans="1:13" ht="25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8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75" customHeight="1" x14ac:dyDescent="0.35">
      <c r="A3" s="3" t="s">
        <v>2</v>
      </c>
      <c r="B3" s="3"/>
      <c r="C3" s="3"/>
      <c r="D3" s="2" t="s">
        <v>3</v>
      </c>
      <c r="E3" s="2"/>
      <c r="F3" s="2"/>
      <c r="G3" s="2"/>
      <c r="H3" s="2"/>
      <c r="I3" s="2"/>
      <c r="J3" s="2"/>
      <c r="K3" s="2"/>
      <c r="L3" s="2"/>
      <c r="M3" s="2"/>
    </row>
    <row r="4" spans="1:13" ht="15.75" customHeight="1" x14ac:dyDescent="0.35">
      <c r="A4" s="3" t="s">
        <v>4</v>
      </c>
      <c r="B4" s="3"/>
      <c r="C4" s="3"/>
      <c r="D4" s="2" t="s">
        <v>5</v>
      </c>
      <c r="E4" s="2"/>
      <c r="F4" s="2"/>
      <c r="G4" s="2"/>
      <c r="H4" s="2"/>
      <c r="I4" s="2"/>
      <c r="J4" s="2"/>
      <c r="K4" s="2"/>
      <c r="L4" s="2"/>
      <c r="M4" s="2"/>
    </row>
    <row r="5" spans="1:13" ht="15.75" customHeight="1" x14ac:dyDescent="0.35">
      <c r="A5" s="3" t="s">
        <v>6</v>
      </c>
      <c r="B5" s="3"/>
      <c r="C5" s="3"/>
      <c r="D5" s="2" t="s">
        <v>268</v>
      </c>
      <c r="E5" s="2"/>
      <c r="F5" s="2"/>
      <c r="G5" s="2"/>
      <c r="H5" s="2"/>
      <c r="I5" s="2"/>
      <c r="J5" s="2"/>
      <c r="K5" s="2"/>
      <c r="L5" s="2"/>
      <c r="M5" s="2"/>
    </row>
    <row r="6" spans="1:13" ht="15.75" customHeight="1" x14ac:dyDescent="0.35">
      <c r="A6" s="3" t="s">
        <v>7</v>
      </c>
      <c r="B6" s="3"/>
      <c r="C6" s="3"/>
      <c r="D6" s="2" t="s">
        <v>8</v>
      </c>
      <c r="E6" s="2"/>
      <c r="F6" s="2"/>
      <c r="G6" s="2"/>
      <c r="H6" s="2"/>
      <c r="I6" s="2"/>
      <c r="J6" s="2"/>
      <c r="K6" s="2"/>
      <c r="L6" s="2"/>
      <c r="M6" s="2"/>
    </row>
    <row r="7" spans="1:13" ht="15.75" customHeight="1" x14ac:dyDescent="0.35">
      <c r="A7" s="3" t="s">
        <v>9</v>
      </c>
      <c r="B7" s="3"/>
      <c r="C7" s="3"/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</row>
    <row r="8" spans="1:13" ht="15.75" customHeight="1" x14ac:dyDescent="0.35">
      <c r="A8" s="3" t="s">
        <v>11</v>
      </c>
      <c r="B8" s="3"/>
      <c r="C8" s="3"/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</row>
    <row r="9" spans="1:13" ht="15.75" customHeight="1" x14ac:dyDescent="0.35">
      <c r="A9" s="3" t="s">
        <v>13</v>
      </c>
      <c r="B9" s="3"/>
      <c r="C9" s="3"/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</row>
    <row r="11" spans="1:13" ht="24" customHeight="1" x14ac:dyDescent="0.35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24</v>
      </c>
      <c r="K11" s="6" t="s">
        <v>25</v>
      </c>
      <c r="L11" s="6" t="s">
        <v>26</v>
      </c>
      <c r="M11" s="6" t="s">
        <v>27</v>
      </c>
    </row>
    <row r="12" spans="1:13" ht="84" customHeight="1" x14ac:dyDescent="0.35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8" t="s">
        <v>33</v>
      </c>
      <c r="G12" s="8" t="s">
        <v>34</v>
      </c>
      <c r="H12" s="8" t="s">
        <v>35</v>
      </c>
      <c r="I12" s="8" t="s">
        <v>36</v>
      </c>
      <c r="J12" s="8" t="s">
        <v>37</v>
      </c>
      <c r="K12" s="9" t="s">
        <v>38</v>
      </c>
      <c r="L12" s="7" t="s">
        <v>39</v>
      </c>
      <c r="M12" s="8" t="s">
        <v>40</v>
      </c>
    </row>
    <row r="13" spans="1:13" ht="84" customHeight="1" x14ac:dyDescent="0.35">
      <c r="A13" s="10" t="s">
        <v>41</v>
      </c>
      <c r="B13" s="10" t="s">
        <v>42</v>
      </c>
      <c r="C13" s="10" t="s">
        <v>30</v>
      </c>
      <c r="D13" s="10" t="s">
        <v>31</v>
      </c>
      <c r="E13" s="10" t="s">
        <v>32</v>
      </c>
      <c r="F13" s="11" t="s">
        <v>43</v>
      </c>
      <c r="G13" s="11" t="s">
        <v>44</v>
      </c>
      <c r="H13" s="11" t="s">
        <v>45</v>
      </c>
      <c r="I13" s="11" t="s">
        <v>46</v>
      </c>
      <c r="J13" s="11" t="s">
        <v>47</v>
      </c>
      <c r="K13" s="9" t="s">
        <v>38</v>
      </c>
      <c r="L13" s="10" t="s">
        <v>39</v>
      </c>
      <c r="M13" s="11" t="s">
        <v>40</v>
      </c>
    </row>
    <row r="14" spans="1:13" ht="84" customHeight="1" x14ac:dyDescent="0.35">
      <c r="A14" s="7" t="s">
        <v>48</v>
      </c>
      <c r="B14" s="7" t="s">
        <v>49</v>
      </c>
      <c r="C14" s="7" t="s">
        <v>30</v>
      </c>
      <c r="D14" s="7" t="s">
        <v>31</v>
      </c>
      <c r="E14" s="7" t="s">
        <v>32</v>
      </c>
      <c r="F14" s="8" t="s">
        <v>50</v>
      </c>
      <c r="G14" s="8" t="s">
        <v>51</v>
      </c>
      <c r="H14" s="8" t="s">
        <v>52</v>
      </c>
      <c r="I14" s="8" t="s">
        <v>53</v>
      </c>
      <c r="J14" s="8" t="s">
        <v>54</v>
      </c>
      <c r="K14" s="9" t="s">
        <v>38</v>
      </c>
      <c r="L14" s="7" t="s">
        <v>39</v>
      </c>
      <c r="M14" s="8" t="s">
        <v>40</v>
      </c>
    </row>
    <row r="15" spans="1:13" ht="84" customHeight="1" x14ac:dyDescent="0.35">
      <c r="A15" s="10" t="s">
        <v>55</v>
      </c>
      <c r="B15" s="10" t="s">
        <v>56</v>
      </c>
      <c r="C15" s="10" t="s">
        <v>30</v>
      </c>
      <c r="D15" s="10" t="s">
        <v>31</v>
      </c>
      <c r="E15" s="10" t="s">
        <v>31</v>
      </c>
      <c r="F15" s="11" t="s">
        <v>57</v>
      </c>
      <c r="G15" s="11" t="s">
        <v>58</v>
      </c>
      <c r="H15" s="11" t="s">
        <v>59</v>
      </c>
      <c r="I15" s="11" t="s">
        <v>60</v>
      </c>
      <c r="J15" s="11" t="s">
        <v>61</v>
      </c>
      <c r="K15" s="12" t="s">
        <v>62</v>
      </c>
      <c r="L15" s="10" t="s">
        <v>39</v>
      </c>
      <c r="M15" s="11" t="s">
        <v>63</v>
      </c>
    </row>
    <row r="16" spans="1:13" ht="84" customHeight="1" x14ac:dyDescent="0.35">
      <c r="A16" s="7" t="s">
        <v>64</v>
      </c>
      <c r="B16" s="7" t="s">
        <v>65</v>
      </c>
      <c r="C16" s="7" t="s">
        <v>30</v>
      </c>
      <c r="D16" s="7" t="s">
        <v>66</v>
      </c>
      <c r="E16" s="7" t="s">
        <v>32</v>
      </c>
      <c r="F16" s="8" t="s">
        <v>33</v>
      </c>
      <c r="G16" s="8" t="s">
        <v>67</v>
      </c>
      <c r="H16" s="8" t="s">
        <v>68</v>
      </c>
      <c r="I16" s="8" t="s">
        <v>69</v>
      </c>
      <c r="J16" s="8" t="s">
        <v>70</v>
      </c>
      <c r="K16" s="9" t="s">
        <v>38</v>
      </c>
      <c r="L16" s="7" t="s">
        <v>39</v>
      </c>
      <c r="M16" s="8" t="s">
        <v>40</v>
      </c>
    </row>
    <row r="17" spans="1:13" ht="84" customHeight="1" x14ac:dyDescent="0.35">
      <c r="A17" s="10" t="s">
        <v>71</v>
      </c>
      <c r="B17" s="10" t="s">
        <v>72</v>
      </c>
      <c r="C17" s="10" t="s">
        <v>30</v>
      </c>
      <c r="D17" s="10" t="s">
        <v>66</v>
      </c>
      <c r="E17" s="10" t="s">
        <v>31</v>
      </c>
      <c r="F17" s="11" t="s">
        <v>33</v>
      </c>
      <c r="G17" s="11" t="s">
        <v>73</v>
      </c>
      <c r="H17" s="11" t="s">
        <v>74</v>
      </c>
      <c r="I17" s="11" t="s">
        <v>75</v>
      </c>
      <c r="J17" s="11" t="s">
        <v>76</v>
      </c>
      <c r="K17" s="12" t="s">
        <v>62</v>
      </c>
      <c r="L17" s="10" t="s">
        <v>39</v>
      </c>
      <c r="M17" s="11" t="s">
        <v>77</v>
      </c>
    </row>
    <row r="18" spans="1:13" ht="84" customHeight="1" x14ac:dyDescent="0.35">
      <c r="A18" s="7" t="s">
        <v>78</v>
      </c>
      <c r="B18" s="7" t="s">
        <v>79</v>
      </c>
      <c r="C18" s="7" t="s">
        <v>30</v>
      </c>
      <c r="D18" s="7" t="s">
        <v>66</v>
      </c>
      <c r="E18" s="7" t="s">
        <v>66</v>
      </c>
      <c r="F18" s="8" t="s">
        <v>43</v>
      </c>
      <c r="G18" s="8" t="s">
        <v>80</v>
      </c>
      <c r="H18" s="8" t="s">
        <v>81</v>
      </c>
      <c r="I18" s="8" t="s">
        <v>82</v>
      </c>
      <c r="J18" s="8" t="s">
        <v>83</v>
      </c>
      <c r="K18" s="12" t="s">
        <v>62</v>
      </c>
      <c r="L18" s="7" t="s">
        <v>39</v>
      </c>
      <c r="M18" s="8" t="s">
        <v>84</v>
      </c>
    </row>
    <row r="19" spans="1:13" ht="84" customHeight="1" x14ac:dyDescent="0.35">
      <c r="A19" s="10" t="s">
        <v>85</v>
      </c>
      <c r="B19" s="10" t="s">
        <v>29</v>
      </c>
      <c r="C19" s="10" t="s">
        <v>86</v>
      </c>
      <c r="D19" s="10" t="s">
        <v>31</v>
      </c>
      <c r="E19" s="10" t="s">
        <v>32</v>
      </c>
      <c r="F19" s="11" t="s">
        <v>87</v>
      </c>
      <c r="G19" s="11" t="s">
        <v>88</v>
      </c>
      <c r="H19" s="11" t="s">
        <v>89</v>
      </c>
      <c r="I19" s="11" t="s">
        <v>90</v>
      </c>
      <c r="J19" s="11" t="s">
        <v>91</v>
      </c>
      <c r="K19" s="9" t="s">
        <v>38</v>
      </c>
      <c r="L19" s="10" t="s">
        <v>92</v>
      </c>
      <c r="M19" s="11" t="s">
        <v>93</v>
      </c>
    </row>
    <row r="20" spans="1:13" ht="84" customHeight="1" x14ac:dyDescent="0.35">
      <c r="A20" s="7" t="s">
        <v>94</v>
      </c>
      <c r="B20" s="7" t="s">
        <v>95</v>
      </c>
      <c r="C20" s="7" t="s">
        <v>86</v>
      </c>
      <c r="D20" s="7" t="s">
        <v>31</v>
      </c>
      <c r="E20" s="7" t="s">
        <v>32</v>
      </c>
      <c r="F20" s="8" t="s">
        <v>96</v>
      </c>
      <c r="G20" s="8" t="s">
        <v>97</v>
      </c>
      <c r="H20" s="8" t="s">
        <v>98</v>
      </c>
      <c r="I20" s="8" t="s">
        <v>99</v>
      </c>
      <c r="J20" s="8" t="s">
        <v>100</v>
      </c>
      <c r="K20" s="9" t="s">
        <v>38</v>
      </c>
      <c r="L20" s="7" t="s">
        <v>92</v>
      </c>
      <c r="M20" s="8" t="s">
        <v>93</v>
      </c>
    </row>
    <row r="21" spans="1:13" ht="84" customHeight="1" x14ac:dyDescent="0.35">
      <c r="A21" s="10" t="s">
        <v>101</v>
      </c>
      <c r="B21" s="10" t="s">
        <v>56</v>
      </c>
      <c r="C21" s="10" t="s">
        <v>86</v>
      </c>
      <c r="D21" s="10" t="s">
        <v>31</v>
      </c>
      <c r="E21" s="10" t="s">
        <v>31</v>
      </c>
      <c r="F21" s="11" t="s">
        <v>102</v>
      </c>
      <c r="G21" s="11" t="s">
        <v>103</v>
      </c>
      <c r="H21" s="11" t="s">
        <v>104</v>
      </c>
      <c r="I21" s="11" t="s">
        <v>105</v>
      </c>
      <c r="J21" s="11" t="s">
        <v>106</v>
      </c>
      <c r="K21" s="12" t="s">
        <v>62</v>
      </c>
      <c r="L21" s="10" t="s">
        <v>92</v>
      </c>
      <c r="M21" s="11" t="s">
        <v>107</v>
      </c>
    </row>
    <row r="22" spans="1:13" ht="84" customHeight="1" x14ac:dyDescent="0.35">
      <c r="A22" s="7" t="s">
        <v>108</v>
      </c>
      <c r="B22" s="7" t="s">
        <v>72</v>
      </c>
      <c r="C22" s="7" t="s">
        <v>86</v>
      </c>
      <c r="D22" s="7" t="s">
        <v>66</v>
      </c>
      <c r="E22" s="7" t="s">
        <v>31</v>
      </c>
      <c r="F22" s="8" t="s">
        <v>109</v>
      </c>
      <c r="G22" s="8" t="s">
        <v>110</v>
      </c>
      <c r="H22" s="8" t="s">
        <v>111</v>
      </c>
      <c r="I22" s="8" t="s">
        <v>112</v>
      </c>
      <c r="J22" s="8" t="s">
        <v>113</v>
      </c>
      <c r="K22" s="12" t="s">
        <v>62</v>
      </c>
      <c r="L22" s="7" t="s">
        <v>92</v>
      </c>
      <c r="M22" s="8" t="s">
        <v>114</v>
      </c>
    </row>
    <row r="23" spans="1:13" ht="84" customHeight="1" x14ac:dyDescent="0.35">
      <c r="A23" s="10" t="s">
        <v>115</v>
      </c>
      <c r="B23" s="10" t="s">
        <v>65</v>
      </c>
      <c r="C23" s="10" t="s">
        <v>86</v>
      </c>
      <c r="D23" s="10" t="s">
        <v>66</v>
      </c>
      <c r="E23" s="10" t="s">
        <v>32</v>
      </c>
      <c r="F23" s="11" t="s">
        <v>116</v>
      </c>
      <c r="G23" s="11" t="s">
        <v>117</v>
      </c>
      <c r="H23" s="11" t="s">
        <v>118</v>
      </c>
      <c r="I23" s="11" t="s">
        <v>119</v>
      </c>
      <c r="J23" s="11" t="s">
        <v>120</v>
      </c>
      <c r="K23" s="9" t="s">
        <v>38</v>
      </c>
      <c r="L23" s="10" t="s">
        <v>92</v>
      </c>
      <c r="M23" s="11" t="s">
        <v>93</v>
      </c>
    </row>
    <row r="24" spans="1:13" ht="84" customHeight="1" x14ac:dyDescent="0.35">
      <c r="A24" s="7" t="s">
        <v>121</v>
      </c>
      <c r="B24" s="7" t="s">
        <v>95</v>
      </c>
      <c r="C24" s="7" t="s">
        <v>86</v>
      </c>
      <c r="D24" s="7" t="s">
        <v>66</v>
      </c>
      <c r="E24" s="7" t="s">
        <v>66</v>
      </c>
      <c r="F24" s="8" t="s">
        <v>122</v>
      </c>
      <c r="G24" s="8" t="s">
        <v>123</v>
      </c>
      <c r="H24" s="8" t="s">
        <v>124</v>
      </c>
      <c r="I24" s="8" t="s">
        <v>125</v>
      </c>
      <c r="J24" s="8" t="s">
        <v>126</v>
      </c>
      <c r="K24" s="13" t="s">
        <v>127</v>
      </c>
      <c r="L24" s="7" t="s">
        <v>92</v>
      </c>
      <c r="M24" s="8" t="s">
        <v>128</v>
      </c>
    </row>
    <row r="25" spans="1:13" ht="84" customHeight="1" x14ac:dyDescent="0.35">
      <c r="A25" s="10" t="s">
        <v>129</v>
      </c>
      <c r="B25" s="10" t="s">
        <v>79</v>
      </c>
      <c r="C25" s="10" t="s">
        <v>86</v>
      </c>
      <c r="D25" s="10" t="s">
        <v>66</v>
      </c>
      <c r="E25" s="10" t="s">
        <v>66</v>
      </c>
      <c r="F25" s="11" t="s">
        <v>130</v>
      </c>
      <c r="G25" s="11" t="s">
        <v>131</v>
      </c>
      <c r="H25" s="11" t="s">
        <v>132</v>
      </c>
      <c r="I25" s="11" t="s">
        <v>133</v>
      </c>
      <c r="J25" s="11" t="s">
        <v>134</v>
      </c>
      <c r="K25" s="12" t="s">
        <v>62</v>
      </c>
      <c r="L25" s="10" t="s">
        <v>92</v>
      </c>
      <c r="M25" s="11" t="s">
        <v>93</v>
      </c>
    </row>
    <row r="26" spans="1:13" ht="84" customHeight="1" x14ac:dyDescent="0.35">
      <c r="A26" s="7" t="s">
        <v>135</v>
      </c>
      <c r="B26" s="7" t="s">
        <v>136</v>
      </c>
      <c r="C26" s="7" t="s">
        <v>86</v>
      </c>
      <c r="D26" s="7" t="s">
        <v>31</v>
      </c>
      <c r="E26" s="7" t="s">
        <v>66</v>
      </c>
      <c r="F26" s="8" t="s">
        <v>137</v>
      </c>
      <c r="G26" s="8" t="s">
        <v>138</v>
      </c>
      <c r="H26" s="8" t="s">
        <v>139</v>
      </c>
      <c r="I26" s="8" t="s">
        <v>140</v>
      </c>
      <c r="J26" s="8" t="s">
        <v>141</v>
      </c>
      <c r="K26" s="13" t="s">
        <v>127</v>
      </c>
      <c r="L26" s="7" t="s">
        <v>92</v>
      </c>
      <c r="M26" s="8" t="s">
        <v>142</v>
      </c>
    </row>
    <row r="27" spans="1:13" ht="84" customHeight="1" x14ac:dyDescent="0.35">
      <c r="A27" s="10" t="s">
        <v>143</v>
      </c>
      <c r="B27" s="10" t="s">
        <v>144</v>
      </c>
      <c r="C27" s="10" t="s">
        <v>145</v>
      </c>
      <c r="D27" s="10" t="s">
        <v>31</v>
      </c>
      <c r="E27" s="10" t="s">
        <v>32</v>
      </c>
      <c r="F27" s="11" t="s">
        <v>146</v>
      </c>
      <c r="G27" s="11" t="s">
        <v>147</v>
      </c>
      <c r="H27" s="11" t="s">
        <v>148</v>
      </c>
      <c r="I27" s="11" t="s">
        <v>149</v>
      </c>
      <c r="J27" s="11" t="s">
        <v>150</v>
      </c>
      <c r="K27" s="9" t="s">
        <v>38</v>
      </c>
      <c r="L27" s="10" t="s">
        <v>151</v>
      </c>
      <c r="M27" s="11" t="s">
        <v>152</v>
      </c>
    </row>
    <row r="28" spans="1:13" ht="84" customHeight="1" x14ac:dyDescent="0.35">
      <c r="A28" s="7" t="s">
        <v>153</v>
      </c>
      <c r="B28" s="7" t="s">
        <v>154</v>
      </c>
      <c r="C28" s="7" t="s">
        <v>145</v>
      </c>
      <c r="D28" s="7" t="s">
        <v>31</v>
      </c>
      <c r="E28" s="7" t="s">
        <v>31</v>
      </c>
      <c r="F28" s="8" t="s">
        <v>155</v>
      </c>
      <c r="G28" s="8" t="s">
        <v>156</v>
      </c>
      <c r="H28" s="8" t="s">
        <v>157</v>
      </c>
      <c r="I28" s="8" t="s">
        <v>158</v>
      </c>
      <c r="J28" s="8" t="s">
        <v>159</v>
      </c>
      <c r="K28" s="12" t="s">
        <v>62</v>
      </c>
      <c r="L28" s="7" t="s">
        <v>151</v>
      </c>
      <c r="M28" s="8" t="s">
        <v>160</v>
      </c>
    </row>
    <row r="29" spans="1:13" ht="84" customHeight="1" x14ac:dyDescent="0.35">
      <c r="A29" s="10" t="s">
        <v>161</v>
      </c>
      <c r="B29" s="10" t="s">
        <v>136</v>
      </c>
      <c r="C29" s="10" t="s">
        <v>162</v>
      </c>
      <c r="D29" s="10" t="s">
        <v>31</v>
      </c>
      <c r="E29" s="10" t="s">
        <v>66</v>
      </c>
      <c r="F29" s="11" t="s">
        <v>163</v>
      </c>
      <c r="G29" s="11" t="s">
        <v>164</v>
      </c>
      <c r="H29" s="11" t="s">
        <v>165</v>
      </c>
      <c r="I29" s="11" t="s">
        <v>166</v>
      </c>
      <c r="J29" s="11" t="s">
        <v>167</v>
      </c>
      <c r="K29" s="13" t="s">
        <v>127</v>
      </c>
      <c r="L29" s="10" t="s">
        <v>168</v>
      </c>
      <c r="M29" s="11" t="s">
        <v>169</v>
      </c>
    </row>
    <row r="30" spans="1:13" ht="84" customHeight="1" x14ac:dyDescent="0.35">
      <c r="A30" s="7" t="s">
        <v>170</v>
      </c>
      <c r="B30" s="7" t="s">
        <v>171</v>
      </c>
      <c r="C30" s="7" t="s">
        <v>162</v>
      </c>
      <c r="D30" s="7" t="s">
        <v>66</v>
      </c>
      <c r="E30" s="7" t="s">
        <v>32</v>
      </c>
      <c r="F30" s="8" t="s">
        <v>172</v>
      </c>
      <c r="G30" s="8" t="s">
        <v>173</v>
      </c>
      <c r="H30" s="8" t="s">
        <v>174</v>
      </c>
      <c r="I30" s="8" t="s">
        <v>175</v>
      </c>
      <c r="J30" s="8" t="s">
        <v>176</v>
      </c>
      <c r="K30" s="9" t="s">
        <v>38</v>
      </c>
      <c r="L30" s="7" t="s">
        <v>168</v>
      </c>
      <c r="M30" s="8" t="s">
        <v>177</v>
      </c>
    </row>
    <row r="31" spans="1:13" ht="84" customHeight="1" x14ac:dyDescent="0.35">
      <c r="A31" s="10" t="s">
        <v>178</v>
      </c>
      <c r="B31" s="10" t="s">
        <v>144</v>
      </c>
      <c r="C31" s="10" t="s">
        <v>179</v>
      </c>
      <c r="D31" s="10" t="s">
        <v>31</v>
      </c>
      <c r="E31" s="10" t="s">
        <v>32</v>
      </c>
      <c r="F31" s="11" t="s">
        <v>180</v>
      </c>
      <c r="G31" s="11" t="s">
        <v>181</v>
      </c>
      <c r="H31" s="11" t="s">
        <v>182</v>
      </c>
      <c r="I31" s="11" t="s">
        <v>183</v>
      </c>
      <c r="J31" s="11" t="s">
        <v>184</v>
      </c>
      <c r="K31" s="9" t="s">
        <v>38</v>
      </c>
      <c r="L31" s="10" t="s">
        <v>168</v>
      </c>
      <c r="M31" s="11" t="s">
        <v>185</v>
      </c>
    </row>
    <row r="32" spans="1:13" ht="84" customHeight="1" x14ac:dyDescent="0.35">
      <c r="A32" s="7" t="s">
        <v>186</v>
      </c>
      <c r="B32" s="7" t="s">
        <v>154</v>
      </c>
      <c r="C32" s="7" t="s">
        <v>179</v>
      </c>
      <c r="D32" s="7" t="s">
        <v>31</v>
      </c>
      <c r="E32" s="7" t="s">
        <v>31</v>
      </c>
      <c r="F32" s="8" t="s">
        <v>187</v>
      </c>
      <c r="G32" s="8" t="s">
        <v>188</v>
      </c>
      <c r="H32" s="8" t="s">
        <v>189</v>
      </c>
      <c r="I32" s="8" t="s">
        <v>190</v>
      </c>
      <c r="J32" s="8" t="s">
        <v>191</v>
      </c>
      <c r="K32" s="12" t="s">
        <v>62</v>
      </c>
      <c r="L32" s="7" t="s">
        <v>168</v>
      </c>
      <c r="M32" s="8" t="s">
        <v>192</v>
      </c>
    </row>
    <row r="33" spans="1:13" ht="84" customHeight="1" x14ac:dyDescent="0.35">
      <c r="A33" s="10" t="s">
        <v>193</v>
      </c>
      <c r="B33" s="10" t="s">
        <v>56</v>
      </c>
      <c r="C33" s="10" t="s">
        <v>194</v>
      </c>
      <c r="D33" s="10" t="s">
        <v>31</v>
      </c>
      <c r="E33" s="10" t="s">
        <v>31</v>
      </c>
      <c r="F33" s="11" t="s">
        <v>195</v>
      </c>
      <c r="G33" s="11" t="s">
        <v>196</v>
      </c>
      <c r="H33" s="11" t="s">
        <v>197</v>
      </c>
      <c r="I33" s="11" t="s">
        <v>198</v>
      </c>
      <c r="J33" s="11" t="s">
        <v>199</v>
      </c>
      <c r="K33" s="12" t="s">
        <v>62</v>
      </c>
      <c r="L33" s="10" t="s">
        <v>200</v>
      </c>
      <c r="M33" s="11" t="s">
        <v>201</v>
      </c>
    </row>
    <row r="34" spans="1:13" ht="84" customHeight="1" x14ac:dyDescent="0.35">
      <c r="A34" s="7" t="s">
        <v>202</v>
      </c>
      <c r="B34" s="7" t="s">
        <v>72</v>
      </c>
      <c r="C34" s="7" t="s">
        <v>194</v>
      </c>
      <c r="D34" s="7" t="s">
        <v>66</v>
      </c>
      <c r="E34" s="7" t="s">
        <v>31</v>
      </c>
      <c r="F34" s="8" t="s">
        <v>203</v>
      </c>
      <c r="G34" s="8" t="s">
        <v>204</v>
      </c>
      <c r="H34" s="8" t="s">
        <v>205</v>
      </c>
      <c r="I34" s="8" t="s">
        <v>206</v>
      </c>
      <c r="J34" s="8" t="s">
        <v>207</v>
      </c>
      <c r="K34" s="12" t="s">
        <v>62</v>
      </c>
      <c r="L34" s="7" t="s">
        <v>200</v>
      </c>
      <c r="M34" s="8" t="s">
        <v>208</v>
      </c>
    </row>
    <row r="35" spans="1:13" ht="84" customHeight="1" x14ac:dyDescent="0.35">
      <c r="A35" s="10" t="s">
        <v>209</v>
      </c>
      <c r="B35" s="10" t="s">
        <v>210</v>
      </c>
      <c r="C35" s="10" t="s">
        <v>194</v>
      </c>
      <c r="D35" s="10" t="s">
        <v>66</v>
      </c>
      <c r="E35" s="10" t="s">
        <v>66</v>
      </c>
      <c r="F35" s="11" t="s">
        <v>211</v>
      </c>
      <c r="G35" s="11" t="s">
        <v>212</v>
      </c>
      <c r="H35" s="11" t="s">
        <v>213</v>
      </c>
      <c r="I35" s="11" t="s">
        <v>214</v>
      </c>
      <c r="J35" s="11" t="s">
        <v>215</v>
      </c>
      <c r="K35" s="12" t="s">
        <v>62</v>
      </c>
      <c r="L35" s="10" t="s">
        <v>200</v>
      </c>
      <c r="M35" s="11" t="s">
        <v>216</v>
      </c>
    </row>
    <row r="36" spans="1:13" ht="84" customHeight="1" x14ac:dyDescent="0.35">
      <c r="A36" s="7" t="s">
        <v>217</v>
      </c>
      <c r="B36" s="7" t="s">
        <v>79</v>
      </c>
      <c r="C36" s="7" t="s">
        <v>218</v>
      </c>
      <c r="D36" s="7" t="s">
        <v>66</v>
      </c>
      <c r="E36" s="7" t="s">
        <v>66</v>
      </c>
      <c r="F36" s="8" t="s">
        <v>219</v>
      </c>
      <c r="G36" s="8" t="s">
        <v>220</v>
      </c>
      <c r="H36" s="8" t="s">
        <v>221</v>
      </c>
      <c r="I36" s="8" t="s">
        <v>222</v>
      </c>
      <c r="J36" s="8" t="s">
        <v>223</v>
      </c>
      <c r="K36" s="12" t="s">
        <v>62</v>
      </c>
      <c r="L36" s="7" t="s">
        <v>200</v>
      </c>
      <c r="M36" s="8" t="s">
        <v>224</v>
      </c>
    </row>
    <row r="37" spans="1:13" ht="84" customHeight="1" x14ac:dyDescent="0.35">
      <c r="A37" s="10" t="s">
        <v>225</v>
      </c>
      <c r="B37" s="10" t="s">
        <v>65</v>
      </c>
      <c r="C37" s="10" t="s">
        <v>218</v>
      </c>
      <c r="D37" s="10" t="s">
        <v>66</v>
      </c>
      <c r="E37" s="10" t="s">
        <v>66</v>
      </c>
      <c r="F37" s="11" t="s">
        <v>226</v>
      </c>
      <c r="G37" s="11" t="s">
        <v>227</v>
      </c>
      <c r="H37" s="11" t="s">
        <v>228</v>
      </c>
      <c r="I37" s="11" t="s">
        <v>229</v>
      </c>
      <c r="J37" s="11" t="s">
        <v>230</v>
      </c>
      <c r="K37" s="12" t="s">
        <v>62</v>
      </c>
      <c r="L37" s="10" t="s">
        <v>200</v>
      </c>
      <c r="M37" s="11" t="s">
        <v>231</v>
      </c>
    </row>
    <row r="38" spans="1:13" ht="84" customHeight="1" x14ac:dyDescent="0.35">
      <c r="A38" s="7" t="s">
        <v>232</v>
      </c>
      <c r="B38" s="7" t="s">
        <v>95</v>
      </c>
      <c r="C38" s="7" t="s">
        <v>218</v>
      </c>
      <c r="D38" s="7" t="s">
        <v>32</v>
      </c>
      <c r="E38" s="7" t="s">
        <v>66</v>
      </c>
      <c r="F38" s="8" t="s">
        <v>233</v>
      </c>
      <c r="G38" s="8" t="s">
        <v>234</v>
      </c>
      <c r="H38" s="8" t="s">
        <v>235</v>
      </c>
      <c r="I38" s="8" t="s">
        <v>236</v>
      </c>
      <c r="J38" s="8" t="s">
        <v>237</v>
      </c>
      <c r="K38" s="13" t="s">
        <v>127</v>
      </c>
      <c r="L38" s="7" t="s">
        <v>200</v>
      </c>
      <c r="M38" s="8" t="s">
        <v>238</v>
      </c>
    </row>
    <row r="39" spans="1:13" ht="84" customHeight="1" x14ac:dyDescent="0.35">
      <c r="A39" s="10" t="s">
        <v>239</v>
      </c>
      <c r="B39" s="10" t="s">
        <v>144</v>
      </c>
      <c r="C39" s="10" t="s">
        <v>240</v>
      </c>
      <c r="D39" s="10" t="s">
        <v>66</v>
      </c>
      <c r="E39" s="10" t="s">
        <v>32</v>
      </c>
      <c r="F39" s="11" t="s">
        <v>241</v>
      </c>
      <c r="G39" s="11" t="s">
        <v>242</v>
      </c>
      <c r="H39" s="11" t="s">
        <v>243</v>
      </c>
      <c r="I39" s="11" t="s">
        <v>244</v>
      </c>
      <c r="J39" s="11" t="s">
        <v>245</v>
      </c>
      <c r="K39" s="9" t="s">
        <v>38</v>
      </c>
      <c r="L39" s="10" t="s">
        <v>39</v>
      </c>
      <c r="M39" s="11" t="s">
        <v>40</v>
      </c>
    </row>
    <row r="40" spans="1:13" ht="84" customHeight="1" x14ac:dyDescent="0.35">
      <c r="A40" s="7" t="s">
        <v>246</v>
      </c>
      <c r="B40" s="7" t="s">
        <v>210</v>
      </c>
      <c r="C40" s="7" t="s">
        <v>240</v>
      </c>
      <c r="D40" s="7" t="s">
        <v>66</v>
      </c>
      <c r="E40" s="7" t="s">
        <v>66</v>
      </c>
      <c r="F40" s="8" t="s">
        <v>247</v>
      </c>
      <c r="G40" s="8" t="s">
        <v>248</v>
      </c>
      <c r="H40" s="8" t="s">
        <v>249</v>
      </c>
      <c r="I40" s="8" t="s">
        <v>250</v>
      </c>
      <c r="J40" s="8" t="s">
        <v>251</v>
      </c>
      <c r="K40" s="12" t="s">
        <v>62</v>
      </c>
      <c r="L40" s="7" t="s">
        <v>39</v>
      </c>
      <c r="M40" s="8" t="s">
        <v>252</v>
      </c>
    </row>
    <row r="41" spans="1:13" ht="84" customHeight="1" x14ac:dyDescent="0.35">
      <c r="A41" s="10" t="s">
        <v>253</v>
      </c>
      <c r="B41" s="10" t="s">
        <v>254</v>
      </c>
      <c r="C41" s="10" t="s">
        <v>240</v>
      </c>
      <c r="D41" s="10" t="s">
        <v>32</v>
      </c>
      <c r="E41" s="10" t="s">
        <v>32</v>
      </c>
      <c r="F41" s="11" t="s">
        <v>255</v>
      </c>
      <c r="G41" s="11" t="s">
        <v>256</v>
      </c>
      <c r="H41" s="11" t="s">
        <v>257</v>
      </c>
      <c r="I41" s="11" t="s">
        <v>258</v>
      </c>
      <c r="J41" s="11" t="s">
        <v>259</v>
      </c>
      <c r="K41" s="12" t="s">
        <v>62</v>
      </c>
      <c r="L41" s="10" t="s">
        <v>39</v>
      </c>
      <c r="M41" s="11" t="s">
        <v>260</v>
      </c>
    </row>
  </sheetData>
  <autoFilter ref="A11:M41" xr:uid="{00000000-0009-0000-0000-000000000000}"/>
  <mergeCells count="16">
    <mergeCell ref="A8:C8"/>
    <mergeCell ref="D8:M8"/>
    <mergeCell ref="A9:C9"/>
    <mergeCell ref="D9:M9"/>
    <mergeCell ref="A5:C5"/>
    <mergeCell ref="D5:M5"/>
    <mergeCell ref="A6:C6"/>
    <mergeCell ref="D6:M6"/>
    <mergeCell ref="A7:C7"/>
    <mergeCell ref="D7:M7"/>
    <mergeCell ref="A1:M1"/>
    <mergeCell ref="A2:M2"/>
    <mergeCell ref="A3:C3"/>
    <mergeCell ref="D3:M3"/>
    <mergeCell ref="A4:C4"/>
    <mergeCell ref="D4:M4"/>
  </mergeCells>
  <dataValidations count="2">
    <dataValidation type="list" allowBlank="1" sqref="K12:K41" xr:uid="{00000000-0002-0000-0000-000000000000}">
      <formula1>"Pass,Fail,Partial"</formula1>
      <formula2>0</formula2>
    </dataValidation>
    <dataValidation type="list" allowBlank="1" sqref="D12:E41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zoomScaleNormal="100" workbookViewId="0"/>
  </sheetViews>
  <sheetFormatPr defaultColWidth="8.6328125" defaultRowHeight="14.5" x14ac:dyDescent="0.35"/>
  <cols>
    <col min="1" max="1" width="26" customWidth="1"/>
    <col min="2" max="5" width="11" customWidth="1"/>
  </cols>
  <sheetData>
    <row r="1" spans="1:5" ht="24" customHeight="1" x14ac:dyDescent="0.35">
      <c r="A1" s="1" t="s">
        <v>261</v>
      </c>
      <c r="B1" s="1"/>
      <c r="C1" s="1"/>
      <c r="D1" s="1"/>
    </row>
    <row r="3" spans="1:5" x14ac:dyDescent="0.35">
      <c r="A3" s="14" t="s">
        <v>262</v>
      </c>
      <c r="B3" s="15" t="s">
        <v>263</v>
      </c>
    </row>
    <row r="4" spans="1:5" x14ac:dyDescent="0.35">
      <c r="A4" s="14" t="s">
        <v>264</v>
      </c>
      <c r="B4" s="15">
        <f>COUNTA('Review Test Cases'!A12:A41)</f>
        <v>30</v>
      </c>
    </row>
    <row r="5" spans="1:5" x14ac:dyDescent="0.35">
      <c r="A5" s="16" t="s">
        <v>25</v>
      </c>
      <c r="B5" s="16" t="s">
        <v>265</v>
      </c>
      <c r="C5" s="16" t="s">
        <v>266</v>
      </c>
    </row>
    <row r="6" spans="1:5" x14ac:dyDescent="0.35">
      <c r="A6" s="17" t="s">
        <v>38</v>
      </c>
      <c r="B6" s="18">
        <f>COUNTIF('Review Test Cases'!K12:K41,A6)</f>
        <v>11</v>
      </c>
      <c r="C6" s="19">
        <f>IFERROR(B6/$B$4,0)</f>
        <v>0.36666666666666664</v>
      </c>
    </row>
    <row r="7" spans="1:5" x14ac:dyDescent="0.35">
      <c r="A7" s="20" t="s">
        <v>62</v>
      </c>
      <c r="B7" s="18">
        <f>COUNTIF('Review Test Cases'!K12:K41,A7)</f>
        <v>15</v>
      </c>
      <c r="C7" s="19">
        <f>IFERROR(B7/$B$4,0)</f>
        <v>0.5</v>
      </c>
    </row>
    <row r="8" spans="1:5" x14ac:dyDescent="0.35">
      <c r="A8" s="21" t="s">
        <v>127</v>
      </c>
      <c r="B8" s="18">
        <f>COUNTIF('Review Test Cases'!K12:K41,A8)</f>
        <v>4</v>
      </c>
      <c r="C8" s="19">
        <f>IFERROR(B8/$B$4,0)</f>
        <v>0.13333333333333333</v>
      </c>
    </row>
    <row r="10" spans="1:5" x14ac:dyDescent="0.35">
      <c r="A10" s="16" t="s">
        <v>17</v>
      </c>
      <c r="B10" s="16" t="s">
        <v>267</v>
      </c>
      <c r="C10" s="16" t="s">
        <v>38</v>
      </c>
      <c r="D10" s="16" t="s">
        <v>62</v>
      </c>
      <c r="E10" s="16" t="s">
        <v>127</v>
      </c>
    </row>
    <row r="11" spans="1:5" x14ac:dyDescent="0.35">
      <c r="A11" s="22" t="s">
        <v>30</v>
      </c>
      <c r="B11" s="18">
        <f>COUNTIF('Review Test Cases'!C12:C41,A11)</f>
        <v>7</v>
      </c>
      <c r="C11" s="18">
        <f>COUNTIFS('Review Test Cases'!C12:C41,A11,'Review Test Cases'!K12:K41,"Pass")</f>
        <v>4</v>
      </c>
      <c r="D11" s="18">
        <f>COUNTIFS('Review Test Cases'!C12:C41,A11,'Review Test Cases'!K12:K41,"Fail")</f>
        <v>3</v>
      </c>
      <c r="E11" s="18">
        <f>COUNTIFS('Review Test Cases'!C12:C41,A11,'Review Test Cases'!K12:K41,"Partial")</f>
        <v>0</v>
      </c>
    </row>
    <row r="12" spans="1:5" x14ac:dyDescent="0.35">
      <c r="A12" s="22" t="s">
        <v>86</v>
      </c>
      <c r="B12" s="18">
        <f>COUNTIF('Review Test Cases'!C12:C41,A12)</f>
        <v>8</v>
      </c>
      <c r="C12" s="18">
        <f>COUNTIFS('Review Test Cases'!C12:C41,A12,'Review Test Cases'!K12:K41,"Pass")</f>
        <v>3</v>
      </c>
      <c r="D12" s="18">
        <f>COUNTIFS('Review Test Cases'!C12:C41,A12,'Review Test Cases'!K12:K41,"Fail")</f>
        <v>3</v>
      </c>
      <c r="E12" s="18">
        <f>COUNTIFS('Review Test Cases'!C12:C41,A12,'Review Test Cases'!K12:K41,"Partial")</f>
        <v>2</v>
      </c>
    </row>
    <row r="13" spans="1:5" x14ac:dyDescent="0.35">
      <c r="A13" s="22" t="s">
        <v>145</v>
      </c>
      <c r="B13" s="18">
        <f>COUNTIF('Review Test Cases'!C12:C41,A13)</f>
        <v>2</v>
      </c>
      <c r="C13" s="18">
        <f>COUNTIFS('Review Test Cases'!C12:C41,A13,'Review Test Cases'!K12:K41,"Pass")</f>
        <v>1</v>
      </c>
      <c r="D13" s="18">
        <f>COUNTIFS('Review Test Cases'!C12:C41,A13,'Review Test Cases'!K12:K41,"Fail")</f>
        <v>1</v>
      </c>
      <c r="E13" s="18">
        <f>COUNTIFS('Review Test Cases'!C12:C41,A13,'Review Test Cases'!K12:K41,"Partial")</f>
        <v>0</v>
      </c>
    </row>
    <row r="14" spans="1:5" x14ac:dyDescent="0.35">
      <c r="A14" s="22" t="s">
        <v>162</v>
      </c>
      <c r="B14" s="18">
        <f>COUNTIF('Review Test Cases'!C12:C41,A14)</f>
        <v>2</v>
      </c>
      <c r="C14" s="18">
        <f>COUNTIFS('Review Test Cases'!C12:C41,A14,'Review Test Cases'!K12:K41,"Pass")</f>
        <v>1</v>
      </c>
      <c r="D14" s="18">
        <f>COUNTIFS('Review Test Cases'!C12:C41,A14,'Review Test Cases'!K12:K41,"Fail")</f>
        <v>0</v>
      </c>
      <c r="E14" s="18">
        <f>COUNTIFS('Review Test Cases'!C12:C41,A14,'Review Test Cases'!K12:K41,"Partial")</f>
        <v>1</v>
      </c>
    </row>
    <row r="15" spans="1:5" x14ac:dyDescent="0.35">
      <c r="A15" s="22" t="s">
        <v>179</v>
      </c>
      <c r="B15" s="18">
        <f>COUNTIF('Review Test Cases'!C12:C41,A15)</f>
        <v>2</v>
      </c>
      <c r="C15" s="18">
        <f>COUNTIFS('Review Test Cases'!C12:C41,A15,'Review Test Cases'!K12:K41,"Pass")</f>
        <v>1</v>
      </c>
      <c r="D15" s="18">
        <f>COUNTIFS('Review Test Cases'!C12:C41,A15,'Review Test Cases'!K12:K41,"Fail")</f>
        <v>1</v>
      </c>
      <c r="E15" s="18">
        <f>COUNTIFS('Review Test Cases'!C12:C41,A15,'Review Test Cases'!K12:K41,"Partial")</f>
        <v>0</v>
      </c>
    </row>
    <row r="16" spans="1:5" x14ac:dyDescent="0.35">
      <c r="A16" s="22" t="s">
        <v>194</v>
      </c>
      <c r="B16" s="18">
        <f>COUNTIF('Review Test Cases'!C12:C41,A16)</f>
        <v>3</v>
      </c>
      <c r="C16" s="18">
        <f>COUNTIFS('Review Test Cases'!C12:C41,A16,'Review Test Cases'!K12:K41,"Pass")</f>
        <v>0</v>
      </c>
      <c r="D16" s="18">
        <f>COUNTIFS('Review Test Cases'!C12:C41,A16,'Review Test Cases'!K12:K41,"Fail")</f>
        <v>3</v>
      </c>
      <c r="E16" s="18">
        <f>COUNTIFS('Review Test Cases'!C12:C41,A16,'Review Test Cases'!K12:K41,"Partial")</f>
        <v>0</v>
      </c>
    </row>
    <row r="17" spans="1:5" x14ac:dyDescent="0.35">
      <c r="A17" s="22" t="s">
        <v>218</v>
      </c>
      <c r="B17" s="18">
        <f>COUNTIF('Review Test Cases'!C12:C41,A17)</f>
        <v>3</v>
      </c>
      <c r="C17" s="18">
        <f>COUNTIFS('Review Test Cases'!C12:C41,A17,'Review Test Cases'!K12:K41,"Pass")</f>
        <v>0</v>
      </c>
      <c r="D17" s="18">
        <f>COUNTIFS('Review Test Cases'!C12:C41,A17,'Review Test Cases'!K12:K41,"Fail")</f>
        <v>2</v>
      </c>
      <c r="E17" s="18">
        <f>COUNTIFS('Review Test Cases'!C12:C41,A17,'Review Test Cases'!K12:K41,"Partial")</f>
        <v>1</v>
      </c>
    </row>
    <row r="18" spans="1:5" x14ac:dyDescent="0.35">
      <c r="A18" s="22" t="s">
        <v>240</v>
      </c>
      <c r="B18" s="18">
        <f>COUNTIF('Review Test Cases'!C12:C41,A18)</f>
        <v>3</v>
      </c>
      <c r="C18" s="18">
        <f>COUNTIFS('Review Test Cases'!C12:C41,A18,'Review Test Cases'!K12:K41,"Pass")</f>
        <v>1</v>
      </c>
      <c r="D18" s="18">
        <f>COUNTIFS('Review Test Cases'!C12:C41,A18,'Review Test Cases'!K12:K41,"Fail")</f>
        <v>2</v>
      </c>
      <c r="E18" s="18">
        <f>COUNTIFS('Review Test Cases'!C12:C41,A18,'Review Test Cases'!K12:K41,"Partial")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Sisodiya</cp:lastModifiedBy>
  <cp:revision>0</cp:revision>
  <dcterms:created xsi:type="dcterms:W3CDTF">2026-07-28T19:09:15Z</dcterms:created>
  <dcterms:modified xsi:type="dcterms:W3CDTF">2026-08-04T05:15:01Z</dcterms:modified>
  <dc:language>en-US</dc:language>
</cp:coreProperties>
</file>