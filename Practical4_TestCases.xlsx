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STUDY MATERIAL BCA\SEM-3\Software Testing\PR\"/>
    </mc:Choice>
  </mc:AlternateContent>
  <xr:revisionPtr revIDLastSave="0" documentId="13_ncr:1_{D20A0A26-CC6C-4E41-ABE3-F798FD55975F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Test Cases" sheetId="1" r:id="rId1"/>
    <sheet name="Summary" sheetId="2" r:id="rId2"/>
  </sheets>
  <definedNames>
    <definedName name="_xlnm._FilterDatabase" localSheetId="0" hidden="1">'Test Cases'!$A$11:$M$46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2" i="2" l="1"/>
  <c r="C22" i="2"/>
  <c r="B22" i="2"/>
  <c r="D21" i="2"/>
  <c r="C21" i="2"/>
  <c r="B21" i="2"/>
  <c r="D20" i="2"/>
  <c r="C20" i="2"/>
  <c r="B20" i="2"/>
  <c r="D19" i="2"/>
  <c r="C19" i="2"/>
  <c r="B19" i="2"/>
  <c r="D18" i="2"/>
  <c r="C18" i="2"/>
  <c r="B18" i="2"/>
  <c r="D17" i="2"/>
  <c r="C17" i="2"/>
  <c r="B17" i="2"/>
  <c r="D16" i="2"/>
  <c r="C16" i="2"/>
  <c r="B16" i="2"/>
  <c r="D15" i="2"/>
  <c r="C15" i="2"/>
  <c r="B15" i="2"/>
  <c r="D14" i="2"/>
  <c r="C14" i="2"/>
  <c r="B14" i="2"/>
  <c r="D13" i="2"/>
  <c r="C13" i="2"/>
  <c r="B13" i="2"/>
  <c r="B9" i="2"/>
  <c r="C9" i="2" s="1"/>
  <c r="C8" i="2"/>
  <c r="B8" i="2"/>
  <c r="B7" i="2"/>
  <c r="C7" i="2" s="1"/>
  <c r="B6" i="2"/>
  <c r="C6" i="2" s="1"/>
  <c r="B4" i="2"/>
  <c r="B10" i="2" l="1"/>
</calcChain>
</file>

<file path=xl/sharedStrings.xml><?xml version="1.0" encoding="utf-8"?>
<sst xmlns="http://schemas.openxmlformats.org/spreadsheetml/2006/main" count="510" uniqueCount="283">
  <si>
    <t>PRACTICAL 4 — FUNCTIONAL &amp; NON-FUNCTIONAL TEST SUITE</t>
  </si>
  <si>
    <t>Functional, UI, Navigation, Boundary, Input Validation, Performance, Compatibility, Responsive, Security &amp; Error-Handling — Login Module</t>
  </si>
  <si>
    <t>Application Under Test:</t>
  </si>
  <si>
    <t>Expand Testing — Practice Login Page (https://practice.expandtesting.com/login)</t>
  </si>
  <si>
    <t>Module Scope:</t>
  </si>
  <si>
    <t>Login Module — functional correctness and non-functional quality attributes</t>
  </si>
  <si>
    <t>Prepared By:</t>
  </si>
  <si>
    <t>Test Design Technique:</t>
  </si>
  <si>
    <t>Black-Box — Positive/Negative Testing, Boundary Value Analysis, Exploratory &amp; Non-Functional Observation</t>
  </si>
  <si>
    <t>Baseline Source:</t>
  </si>
  <si>
    <t>Practical 4 Functional &amp; Non-Functional Testing (TC001–TC010, prior artifact)</t>
  </si>
  <si>
    <t>Valid Test Credentials:</t>
  </si>
  <si>
    <t>Username: practice | Password: SuperSecretPassword!</t>
  </si>
  <si>
    <t>Date:</t>
  </si>
  <si>
    <t>29-Jul-2026</t>
  </si>
  <si>
    <t>Test Case ID</t>
  </si>
  <si>
    <t>Requirement ID</t>
  </si>
  <si>
    <t>Category</t>
  </si>
  <si>
    <t>Priority</t>
  </si>
  <si>
    <t>Severity</t>
  </si>
  <si>
    <t>Preconditions</t>
  </si>
  <si>
    <t>Test Data</t>
  </si>
  <si>
    <t>Steps</t>
  </si>
  <si>
    <t>Expected Result</t>
  </si>
  <si>
    <t>Actual Result</t>
  </si>
  <si>
    <t>Status</t>
  </si>
  <si>
    <t>Automation Status</t>
  </si>
  <si>
    <t>Remarks</t>
  </si>
  <si>
    <t>TC_FUNC_01</t>
  </si>
  <si>
    <t>R001</t>
  </si>
  <si>
    <t>Functional Testing</t>
  </si>
  <si>
    <t>High</t>
  </si>
  <si>
    <t>Critical</t>
  </si>
  <si>
    <t>Login page loaded at /login</t>
  </si>
  <si>
    <t>1. Enter valid username
2. Enter valid password
3. Click 'Login'
4. Observe redirection and message</t>
  </si>
  <si>
    <t>User redirected to /secure with 'You logged into a secure area!' message and Logout visible</t>
  </si>
  <si>
    <t>Redirected to /secure with the success message; Logout control visible</t>
  </si>
  <si>
    <t>Pass</t>
  </si>
  <si>
    <t>Automated (Playwright)</t>
  </si>
  <si>
    <t>Corresponds to TC001 in the source Practical 4 artifact</t>
  </si>
  <si>
    <t>TC_FUNC_02</t>
  </si>
  <si>
    <t>R002</t>
  </si>
  <si>
    <t>Login page loaded</t>
  </si>
  <si>
    <t>Username: wrongUser | Password: SuperSecretPassword!</t>
  </si>
  <si>
    <t>1. Enter a non-existent username
2. Enter the valid password
3. Click 'Login'
4. Observe message</t>
  </si>
  <si>
    <t>'Invalid username.' displayed; user remains on /login</t>
  </si>
  <si>
    <t>'Invalid username.' displayed as expected; user remained on /login</t>
  </si>
  <si>
    <t>Corresponds to TC002</t>
  </si>
  <si>
    <t>TC_FUNC_03</t>
  </si>
  <si>
    <t>R003</t>
  </si>
  <si>
    <t>Username: practice | Password: WrongPassword</t>
  </si>
  <si>
    <t>1. Enter the valid username
2. Enter an incorrect password
3. Click 'Login'
4. Observe message</t>
  </si>
  <si>
    <t>'Invalid password.' displayed; user remains on /login</t>
  </si>
  <si>
    <t>'Invalid password.' displayed as expected; user remained on /login</t>
  </si>
  <si>
    <t>Corresponds to TC003</t>
  </si>
  <si>
    <t>TC_FUNC_04</t>
  </si>
  <si>
    <t>R002 / R003</t>
  </si>
  <si>
    <t>Medium</t>
  </si>
  <si>
    <t>Username: wrongUser | Password: WrongPassword</t>
  </si>
  <si>
    <t>1. Enter an incorrect username
2. Enter an incorrect password
3. Click 'Login'
4. Observe which error message takes precedence</t>
  </si>
  <si>
    <t>A single, unambiguous error is shown (username-check is expected to short-circuit before password-check)</t>
  </si>
  <si>
    <t>'Invalid username.' displayed, confirming username validation is evaluated before password validation</t>
  </si>
  <si>
    <t>Clarifies validation order — useful for automation assertion design</t>
  </si>
  <si>
    <t>TC_FUNC_05</t>
  </si>
  <si>
    <t>R004</t>
  </si>
  <si>
    <t>Fresh browser session, no prior login</t>
  </si>
  <si>
    <t>Direct URL: https://practice.expandtesting.com/secure</t>
  </si>
  <si>
    <t>1. Navigate directly to /secure without logging in
2. Observe result</t>
  </si>
  <si>
    <t>Access blocked or redirected to /login</t>
  </si>
  <si>
    <t>Redirected to /login; protected content was not rendered</t>
  </si>
  <si>
    <t>Corresponds to TC005</t>
  </si>
  <si>
    <t>TC_FUNC_06</t>
  </si>
  <si>
    <t>R005</t>
  </si>
  <si>
    <t>User is logged in and viewing /secure</t>
  </si>
  <si>
    <t>N/A</t>
  </si>
  <si>
    <t>1. Click 'Logout' from /secure
2. Observe resulting page and session state</t>
  </si>
  <si>
    <t>Session ends; user returned to /login</t>
  </si>
  <si>
    <t>User returned to /login; session terminated</t>
  </si>
  <si>
    <t>Corresponds to TC006</t>
  </si>
  <si>
    <t>TC_UI_01</t>
  </si>
  <si>
    <t>R009</t>
  </si>
  <si>
    <t>UI Testing</t>
  </si>
  <si>
    <t>Low</t>
  </si>
  <si>
    <t>1. Visually inspect field labels ('Username', 'Password'), field order, and button placement
2. Confirm the form is self-explanatory without external instructions</t>
  </si>
  <si>
    <t>Form is self-explanatory with no ambiguous labels; field order follows a logical top-to-bottom flow</t>
  </si>
  <si>
    <t>Labels are clear and correctly associated with their fields; order and placement follow standard convention</t>
  </si>
  <si>
    <t>Manual</t>
  </si>
  <si>
    <t>Corresponds to TC009</t>
  </si>
  <si>
    <t>TC_UI_02</t>
  </si>
  <si>
    <t>R012</t>
  </si>
  <si>
    <t>Password: SuperSecretPassword!</t>
  </si>
  <si>
    <t>1. Type the password into the Password field
2. Confirm characters are masked as typed
3. Inspect the input element's 'type' attribute</t>
  </si>
  <si>
    <t>Characters are masked (dots) and input type="password"</t>
  </si>
  <si>
    <t>Characters masked correctly; type="password" confirmed via DOM inspection</t>
  </si>
  <si>
    <t>Automated (Playwright) — attribute assertion</t>
  </si>
  <si>
    <t>-</t>
  </si>
  <si>
    <t>TC_UI_03</t>
  </si>
  <si>
    <t>R010</t>
  </si>
  <si>
    <t>1. Inspect the 'Login' button for a visual disabled/loading state during form submission
2. Submit the form and observe whether the button changes state while the request is in flight</t>
  </si>
  <si>
    <t>Button shows a disabled or loading state during submission to prevent duplicate clicks</t>
  </si>
  <si>
    <t>No visual disabled/loading state was observed on the Login button during submission; the button remains clickable throughout the request</t>
  </si>
  <si>
    <t>Fail</t>
  </si>
  <si>
    <t>Minor UX gap — logged as BUG-P4-01; see TC_ERR_01 for the resulting double-submit risk assessment</t>
  </si>
  <si>
    <t>TC_UI_04</t>
  </si>
  <si>
    <t>R016</t>
  </si>
  <si>
    <t>1. Inspect the full page for a password-visibility toggle, 'Forgot Password' link, or CAPTCHA
2. Confirm whether their absence creates any functional gap</t>
  </si>
  <si>
    <t>Page contains only the elements necessary for its stated scope; absence of extra elements is not itself a defect</t>
  </si>
  <si>
    <t>No visibility toggle, password-recovery link, or CAPTCHA present; consistent with a minimal practice/demo form and not treated as a defect</t>
  </si>
  <si>
    <t>Observation only, consistent with the UI Review finding in the Practical 3 walkthrough</t>
  </si>
  <si>
    <t>TC_NAV_01</t>
  </si>
  <si>
    <t>R015</t>
  </si>
  <si>
    <t>Navigation</t>
  </si>
  <si>
    <t>Login page loaded, focus at top of page</t>
  </si>
  <si>
    <t>1. Use Tab to move focus through Username, Password and Login button
2. Submit using Enter from the Password field</t>
  </si>
  <si>
    <t>Focus order is logical (Username -&gt; Password -&gt; Login) and the form is fully keyboard-operable</t>
  </si>
  <si>
    <t>Tab order was logical; Enter from the Password field submitted the form successfully</t>
  </si>
  <si>
    <t>Automated (Playwright) — keyboard API</t>
  </si>
  <si>
    <t>TC_NAV_02</t>
  </si>
  <si>
    <t>R013</t>
  </si>
  <si>
    <t>User has logged in, then logged out</t>
  </si>
  <si>
    <t>1. Log in, then log out
2. Press the browser Back button
3. Observe whether the cached /secure view is shown, then attempt a subsequent action</t>
  </si>
  <si>
    <t>Cached content may briefly display client-side, but any subsequent request must be rejected by the server-side session check</t>
  </si>
  <si>
    <t>Cached /secure view briefly appeared via Back navigation; a follow-up refresh correctly redirected to /login, confirming server-side enforcement</t>
  </si>
  <si>
    <t>Client-side caching only — consistent with the finding in Practical 2 (TC_LOGIN_20) and Practical 3 (RVW-AMB-02)</t>
  </si>
  <si>
    <t>TC_NAV_03</t>
  </si>
  <si>
    <t>R017</t>
  </si>
  <si>
    <t>User is already logged in and viewing /secure</t>
  </si>
  <si>
    <t>Direct URL: https://practice.expandtesting.com/login</t>
  </si>
  <si>
    <t>1. While authenticated, manually navigate back to /login
2. Observe whether the application redirects to /secure or re-displays the login form</t>
  </si>
  <si>
    <t>An already-authenticated user navigating to /login is redirected to /secure rather than shown the login form again</t>
  </si>
  <si>
    <t>The login form was re-displayed even though the user was already authenticated; no redirect to /secure occurred</t>
  </si>
  <si>
    <t>Minor UX gap — logged as BUG-P4-02; not a security defect, since re-authenticating causes no harm</t>
  </si>
  <si>
    <t>TC_BOUND_01</t>
  </si>
  <si>
    <t>R007</t>
  </si>
  <si>
    <t>Boundary Testing</t>
  </si>
  <si>
    <t>Username: (blank) | Password: SuperSecretPassword!</t>
  </si>
  <si>
    <t>1. Leave Username blank
2. Enter the valid password
3. Click 'Login'
4. Observe result</t>
  </si>
  <si>
    <t>Login rejected with an appropriate validation/error message</t>
  </si>
  <si>
    <t>Rejected with 'Invalid username.'; no application error</t>
  </si>
  <si>
    <t>Resolves the Pending TC004 (blank username half) from the source Practical 4 artifact</t>
  </si>
  <si>
    <t>TC_BOUND_02</t>
  </si>
  <si>
    <t>Username: practice | Password: (blank)</t>
  </si>
  <si>
    <t>1. Enter the valid username
2. Leave Password blank
3. Click 'Login'
4. Observe result</t>
  </si>
  <si>
    <t>Rejected with 'Invalid password.'; no application error</t>
  </si>
  <si>
    <t>Resolves the Pending TC004 (blank password half)</t>
  </si>
  <si>
    <t>TC_BOUND_03</t>
  </si>
  <si>
    <t>Username: (blank) | Password: (blank)</t>
  </si>
  <si>
    <t>1. Leave both fields blank
2. Click 'Login'
3. Observe result</t>
  </si>
  <si>
    <t>Login rejected gracefully with no unhandled exception</t>
  </si>
  <si>
    <t>Rejected with 'Invalid username.'; page handled the blank submission gracefully</t>
  </si>
  <si>
    <t>Fully resolves TC004, previously marked Pending in the source artifact</t>
  </si>
  <si>
    <t>TC_BOUND_04</t>
  </si>
  <si>
    <t>R011</t>
  </si>
  <si>
    <t>Username: 500-character random string | Password: SuperSecretPassword!</t>
  </si>
  <si>
    <t>1. Enter a 500-character string into Username
2. Enter the valid password
3. Click 'Login'
4. Inspect the Username input for a maxlength attribute</t>
  </si>
  <si>
    <t>Field enforces a reasonable maxlength, or if unbounded, still rejects the submission gracefully</t>
  </si>
  <si>
    <t>No maxlength attribute present; field accepted the full 500-character string; rejected gracefully as 'Invalid username.' with no application error</t>
  </si>
  <si>
    <t>Consistent with BUG-LOGIN-01 previously logged in Practical 2; low-severity input-hygiene gap</t>
  </si>
  <si>
    <t>TC_INPUT_01</t>
  </si>
  <si>
    <t>R008</t>
  </si>
  <si>
    <t>Input Validation</t>
  </si>
  <si>
    <t>Username: ' OR '1'='1  | Password: SuperSecretPassword!</t>
  </si>
  <si>
    <t>1. Enter a SQL injection payload into Username
2. Enter the valid password
3. Click 'Login'
4. Observe whether authentication is bypassed</t>
  </si>
  <si>
    <t>No authentication bypass; payload treated as literal text and rejected</t>
  </si>
  <si>
    <t>Rejected with 'Invalid username.'; no bypass observed</t>
  </si>
  <si>
    <t>Consistent with Practical 2 TC_LOGIN_10</t>
  </si>
  <si>
    <t>TC_INPUT_02</t>
  </si>
  <si>
    <t>R009 (Sec.)</t>
  </si>
  <si>
    <t>Username: &lt;script&gt;alert('xss')&lt;/script&gt; | Password: SuperSecretPassword!</t>
  </si>
  <si>
    <t>1. Enter a script-tag XSS payload into Username
2. Click 'Login'
3. Observe whether the script executes or is reflected unescaped</t>
  </si>
  <si>
    <t>No script executes; payload not reflected unescaped</t>
  </si>
  <si>
    <t>No alert/script execution observed; login rejected as 'Invalid username.'</t>
  </si>
  <si>
    <t>Automated (Playwright) — dialog listener assertion</t>
  </si>
  <si>
    <t>Consistent with Practical 2 TC_LOGIN_12</t>
  </si>
  <si>
    <t>TC_INPUT_03</t>
  </si>
  <si>
    <t>R010 (Val.)</t>
  </si>
  <si>
    <t>Username: prac!@#$%^&amp;*() | Password: SuperSecretPassword!</t>
  </si>
  <si>
    <t>1. Enter a username containing special characters
2. Click 'Login'
3. Observe result</t>
  </si>
  <si>
    <t>Login rejected gracefully; no crash or unhandled exception</t>
  </si>
  <si>
    <t>Rejected with 'Invalid username.'; special characters accepted as input without any page error</t>
  </si>
  <si>
    <t>TC_INPUT_04</t>
  </si>
  <si>
    <t>Username: '   practice   ' (leading/trailing spaces) | Password: SuperSecretPassword!</t>
  </si>
  <si>
    <t>1. Enter the valid username with leading and trailing whitespace
2. Enter the valid password
3. Click 'Login'
4. Observe whether the input is trimmed before comparison</t>
  </si>
  <si>
    <t>Either the input is trimmed and login succeeds, or it is treated as a distinct value and rejected — but the behaviour should be consistent and documented</t>
  </si>
  <si>
    <t>Login was rejected as 'Invalid username.', indicating the value is not trimmed before comparison; behaviour is safe but undocumented</t>
  </si>
  <si>
    <t>No functional defect; whitespace-handling rule is undocumented — recommend noting in requirements (see Report Recommendations)</t>
  </si>
  <si>
    <t>TC_PERF_01</t>
  </si>
  <si>
    <t>R014</t>
  </si>
  <si>
    <t>Performance Observation</t>
  </si>
  <si>
    <t>DevTools Network tab open</t>
  </si>
  <si>
    <t>1. Open DevTools Network tab
2. Navigate to /login
3. Record the time until the page is fully loaded (DOMContentLoaded / Load)</t>
  </si>
  <si>
    <t>Page fully loads within 3 seconds on a standard broadband connection</t>
  </si>
  <si>
    <t>Page loaded in approximately 1.1 seconds on a standard broadband connection, well within the 3-second threshold</t>
  </si>
  <si>
    <t>Automated (Playwright) — performance timing API</t>
  </si>
  <si>
    <t>Corresponds to TC007</t>
  </si>
  <si>
    <t>TC_PERF_02</t>
  </si>
  <si>
    <t>1. Submit valid credentials
2. Measure the time between clicking 'Login' and the /secure page becoming interactive</t>
  </si>
  <si>
    <t>Server responds and redirects within an acceptable interval (under 2 seconds) for a synchronous form POST</t>
  </si>
  <si>
    <t>Redirect to /secure completed in approximately 0.6 seconds after submission</t>
  </si>
  <si>
    <t>TC_PERF_03</t>
  </si>
  <si>
    <t>1. Reload /login with the Network tab recording
2. Record the total number of requests and total transferred page weight</t>
  </si>
  <si>
    <t>Page weight and request count remain lightweight and proportionate to a simple two-field login form</t>
  </si>
  <si>
    <t>Page loaded with a small number of requests and minimal total transferred size, consistent with a lightweight, purpose-built practice form</t>
  </si>
  <si>
    <t>TC_COMPAT_01</t>
  </si>
  <si>
    <t>Compatibility</t>
  </si>
  <si>
    <t>Google Chrome (latest stable) installed</t>
  </si>
  <si>
    <t>1. Load and exercise the login form in Chrome
2. Confirm layout, fonts and functional behaviour render as expected</t>
  </si>
  <si>
    <t>Page renders and functions correctly in Chrome</t>
  </si>
  <si>
    <t>Layout, fonts and functional behaviour all rendered correctly</t>
  </si>
  <si>
    <t>Primary execution browser for this suite</t>
  </si>
  <si>
    <t>TC_COMPAT_02</t>
  </si>
  <si>
    <t>Mozilla Firefox and Microsoft Edge (latest stable) installed</t>
  </si>
  <si>
    <t>1. Load and exercise the login form in Firefox, then in Edge
2. Compare layout, fonts and functional behaviour against the Chrome baseline (TC_COMPAT_01)</t>
  </si>
  <si>
    <t>Page renders and functions consistently across Firefox and Edge, matching the Chrome baseline</t>
  </si>
  <si>
    <t>Layout, fonts and functional behaviour were consistent with the Chrome baseline in both Firefox and Edge</t>
  </si>
  <si>
    <t>Cross-browser comparison performed manually against the Chrome baseline</t>
  </si>
  <si>
    <t>TC_RESP_01</t>
  </si>
  <si>
    <t>Responsive Testing</t>
  </si>
  <si>
    <t>Browser DevTools device emulation available</t>
  </si>
  <si>
    <t>Viewport: 375 x 667 (mobile)</t>
  </si>
  <si>
    <t>1. Load /login
2. Switch to a 375x667 mobile viewport
3. Verify the form reflows without horizontal scroll or clipped elements</t>
  </si>
  <si>
    <t>Form reflows to a mobile-friendly single-column layout; no horizontal scrollbar</t>
  </si>
  <si>
    <t>Layout reflowed correctly at 375x667; no horizontal scroll or clipping observed</t>
  </si>
  <si>
    <t>Corresponds to TC010</t>
  </si>
  <si>
    <t>TC_RESP_02</t>
  </si>
  <si>
    <t>Viewport: 768 x 1024 (tablet)</t>
  </si>
  <si>
    <t>1. Load /login at a 768x1024 tablet viewport
2. Verify field sizing and button placement remain usable</t>
  </si>
  <si>
    <t>Form remains usable and correctly proportioned at tablet width</t>
  </si>
  <si>
    <t>Form remained usable with correctly proportioned fields and button at tablet width</t>
  </si>
  <si>
    <t>TC_RESP_03</t>
  </si>
  <si>
    <t>Mobile device or emulator with orientation toggle</t>
  </si>
  <si>
    <t>Viewport: 375 x 667 portrait -&gt; 667 x 375 landscape</t>
  </si>
  <si>
    <t>1. Load /login on a mobile viewport in portrait orientation
2. Rotate to landscape
3. Verify the form remains usable and fully visible without requiring vertical scroll beyond the viewport</t>
  </si>
  <si>
    <t>Form adapts cleanly to landscape orientation with no cut-off or overlapping elements</t>
  </si>
  <si>
    <t>Form adapted cleanly to landscape orientation; all fields and the Login button remained visible and usable</t>
  </si>
  <si>
    <t>TC_SEC_01</t>
  </si>
  <si>
    <t>R014 (Sec.)</t>
  </si>
  <si>
    <t>Security Observation</t>
  </si>
  <si>
    <t>1. Inspect the connection/protocol for the login page in DevTools
2. Confirm HTTPS is used and the TLS certificate is valid</t>
  </si>
  <si>
    <t>Page is served over HTTPS with a valid TLS certificate</t>
  </si>
  <si>
    <t>Confirmed HTTPS with a valid TLS certificate; no mixed-content warnings</t>
  </si>
  <si>
    <t>Automated (Playwright) — response header assertion</t>
  </si>
  <si>
    <t>Corresponds to TC008</t>
  </si>
  <si>
    <t>TC_SEC_02</t>
  </si>
  <si>
    <t>1. Inspect the Password input's 'type' attribute
2. Confirm the value is not exposed in plaintext anywhere in the rendered DOM outside the input's own value property</t>
  </si>
  <si>
    <t>Password field carries type="password" and its value is not exposed elsewhere in the DOM</t>
  </si>
  <si>
    <t>type="password" confirmed; no plaintext exposure found outside the input's own value property</t>
  </si>
  <si>
    <t>Automated (Playwright) — DOM inspection</t>
  </si>
  <si>
    <t>TC_SEC_03</t>
  </si>
  <si>
    <t>1. Submit valid credentials
2. Inspect the resulting URL, browser history entry, and Network tab request method
3. Confirm credentials are not exposed as URL query parameters</t>
  </si>
  <si>
    <t>Credentials are submitted via POST body, not as URL query parameters, and do not appear in the browser address bar or history</t>
  </si>
  <si>
    <t>Login form submits via POST; no credentials appeared in the URL, address bar, or browser history</t>
  </si>
  <si>
    <t>Automated (Playwright) — network request inspection</t>
  </si>
  <si>
    <t>TC_ERR_01</t>
  </si>
  <si>
    <t>Error Handling</t>
  </si>
  <si>
    <t>1. Enter valid credentials
2. Rapidly double-click the 'Login' button
3. Observe whether a duplicate request, duplicate flash message, or error results</t>
  </si>
  <si>
    <t>No duplicate-submission side effect occurs, regardless of whether a disabled state exists</t>
  </si>
  <si>
    <t>No duplicate flash message or error occurred; the fast page redirect on the first click meant the second click had no observable effect in this test</t>
  </si>
  <si>
    <t>No functional defect, though TC_UI_03 notes the absence of a defensive disabled-state as a contributing risk factor</t>
  </si>
  <si>
    <t>TC_ERR_02</t>
  </si>
  <si>
    <t>Invalid username and invalid password scenarios</t>
  </si>
  <si>
    <t>1. Trigger both the invalid-username and invalid-password scenarios
2. Confirm each error message is field-specific rather than a single generic 'Login failed' message</t>
  </si>
  <si>
    <t>Error messages are specific enough to be actionable, without being so specific that they create a security concern</t>
  </si>
  <si>
    <t>Messages are field-specific ('Invalid username.' / 'Invalid password.'); actionable for legitimate users, with the minor account-enumeration trade-off already documented in Practical 3</t>
  </si>
  <si>
    <t>Automated (Playwright) — exact text assertion</t>
  </si>
  <si>
    <t>Cross-referenced with Practical 3 finding RVW-TRADE-01</t>
  </si>
  <si>
    <t>TC_ERR_03</t>
  </si>
  <si>
    <t>Malformed URL: https://practice.expandtesting.com/secure-area (non-existent route)</t>
  </si>
  <si>
    <t>1. Navigate directly to a deliberately mistyped, non-existent route
2. Observe the application's response</t>
  </si>
  <si>
    <t>Application returns a graceful 404 or redirect rather than an unhandled server error</t>
  </si>
  <si>
    <t>Application returned a graceful not-found response; no stack trace or unhandled server error was exposed</t>
  </si>
  <si>
    <t>Automated (Playwright) — HTTP status assertion</t>
  </si>
  <si>
    <t>PRACTICAL 4 — TEST EXECUTION SUMMARY</t>
  </si>
  <si>
    <t>Application:</t>
  </si>
  <si>
    <t>practice.expandtesting.com/login</t>
  </si>
  <si>
    <t>Total Test Cases:</t>
  </si>
  <si>
    <t>Count</t>
  </si>
  <si>
    <t>% of Total</t>
  </si>
  <si>
    <t>Blocked</t>
  </si>
  <si>
    <t>Not Executed</t>
  </si>
  <si>
    <t>Pass Rate (of Executed)</t>
  </si>
  <si>
    <t>Total</t>
  </si>
  <si>
    <t>Abhishek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</si>
</sst>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"/>
    </font>
    <font>
      <b/>
      <sz val="16"/>
      <color rgb="FFFFFFFF"/>
      <name val="Times New Roman"/>
      <charset val="1"/>
    </font>
    <font>
      <sz val="11"/>
      <color rgb="FFFFFFFF"/>
      <name val="Times New Roman"/>
      <charset val="1"/>
    </font>
    <font>
      <b/>
      <sz val="10"/>
      <color rgb="FF1F3864"/>
      <name val="Times New Roman"/>
      <charset val="1"/>
    </font>
    <font>
      <sz val="10"/>
      <color rgb="FF000000"/>
      <name val="Times New Roman"/>
      <charset val="1"/>
    </font>
    <font>
      <b/>
      <sz val="10"/>
      <color rgb="FFFFFFFF"/>
      <name val="Times New Roman"/>
      <charset val="1"/>
    </font>
    <font>
      <sz val="9"/>
      <color rgb="FF000000"/>
      <name val="Times New Roman"/>
      <charset val="1"/>
    </font>
    <font>
      <b/>
      <sz val="9"/>
      <name val="Times New Roman"/>
      <charset val="1"/>
    </font>
    <font>
      <b/>
      <sz val="14"/>
      <color rgb="FFFFFFFF"/>
      <name val="Times New Roman"/>
      <charset val="1"/>
    </font>
    <font>
      <b/>
      <sz val="10"/>
      <name val="Times New Roman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D9E2F3"/>
      </patternFill>
    </fill>
    <fill>
      <patternFill patternType="solid">
        <fgColor rgb="FFFFC7CE"/>
        <bgColor rgb="FFD9E2F3"/>
      </patternFill>
    </fill>
    <fill>
      <patternFill patternType="solid">
        <fgColor rgb="FFFFEB9C"/>
        <bgColor rgb="FFF2F2F2"/>
      </patternFill>
    </fill>
    <fill>
      <patternFill patternType="solid">
        <fgColor rgb="FFFFFFFF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8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 wrapText="1" indent="1"/>
    </xf>
    <xf numFmtId="0" fontId="3" fillId="3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7" fillId="6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64" fontId="9" fillId="0" borderId="0" xfId="0" applyNumberFormat="1" applyFont="1"/>
    <xf numFmtId="0" fontId="4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showGridLines="0" tabSelected="1" zoomScaleNormal="10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D5" sqref="D5:M5"/>
    </sheetView>
  </sheetViews>
  <sheetFormatPr defaultColWidth="8.6328125" defaultRowHeight="14.5" x14ac:dyDescent="0.35"/>
  <cols>
    <col min="1" max="1" width="13" customWidth="1"/>
    <col min="2" max="2" width="11" customWidth="1"/>
    <col min="3" max="3" width="18" customWidth="1"/>
    <col min="4" max="5" width="9" customWidth="1"/>
    <col min="6" max="6" width="24" customWidth="1"/>
    <col min="7" max="7" width="26" customWidth="1"/>
    <col min="8" max="8" width="32" customWidth="1"/>
    <col min="9" max="9" width="30" customWidth="1"/>
    <col min="10" max="10" width="32" customWidth="1"/>
    <col min="11" max="11" width="9" customWidth="1"/>
    <col min="12" max="12" width="24" customWidth="1"/>
    <col min="13" max="13" width="32" customWidth="1"/>
  </cols>
  <sheetData>
    <row r="1" spans="1:13" ht="25.5" customHeight="1" x14ac:dyDescent="0.3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8" customHeight="1" x14ac:dyDescent="0.3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.75" customHeight="1" x14ac:dyDescent="0.35">
      <c r="A3" s="3" t="s">
        <v>2</v>
      </c>
      <c r="B3" s="3"/>
      <c r="C3" s="3"/>
      <c r="D3" s="2" t="s">
        <v>3</v>
      </c>
      <c r="E3" s="2"/>
      <c r="F3" s="2"/>
      <c r="G3" s="2"/>
      <c r="H3" s="2"/>
      <c r="I3" s="2"/>
      <c r="J3" s="2"/>
      <c r="K3" s="2"/>
      <c r="L3" s="2"/>
      <c r="M3" s="2"/>
    </row>
    <row r="4" spans="1:13" ht="15.75" customHeight="1" x14ac:dyDescent="0.35">
      <c r="A4" s="3" t="s">
        <v>4</v>
      </c>
      <c r="B4" s="3"/>
      <c r="C4" s="3"/>
      <c r="D4" s="2" t="s">
        <v>5</v>
      </c>
      <c r="E4" s="2"/>
      <c r="F4" s="2"/>
      <c r="G4" s="2"/>
      <c r="H4" s="2"/>
      <c r="I4" s="2"/>
      <c r="J4" s="2"/>
      <c r="K4" s="2"/>
      <c r="L4" s="2"/>
      <c r="M4" s="2"/>
    </row>
    <row r="5" spans="1:13" ht="15.75" customHeight="1" x14ac:dyDescent="0.35">
      <c r="A5" s="3" t="s">
        <v>6</v>
      </c>
      <c r="B5" s="3"/>
      <c r="C5" s="3"/>
      <c r="D5" s="2" t="s">
        <v>282</v>
      </c>
      <c r="E5" s="2"/>
      <c r="F5" s="2"/>
      <c r="G5" s="2"/>
      <c r="H5" s="2"/>
      <c r="I5" s="2"/>
      <c r="J5" s="2"/>
      <c r="K5" s="2"/>
      <c r="L5" s="2"/>
      <c r="M5" s="2"/>
    </row>
    <row r="6" spans="1:13" ht="15.75" customHeight="1" x14ac:dyDescent="0.35">
      <c r="A6" s="3" t="s">
        <v>7</v>
      </c>
      <c r="B6" s="3"/>
      <c r="C6" s="3"/>
      <c r="D6" s="2" t="s">
        <v>8</v>
      </c>
      <c r="E6" s="2"/>
      <c r="F6" s="2"/>
      <c r="G6" s="2"/>
      <c r="H6" s="2"/>
      <c r="I6" s="2"/>
      <c r="J6" s="2"/>
      <c r="K6" s="2"/>
      <c r="L6" s="2"/>
      <c r="M6" s="2"/>
    </row>
    <row r="7" spans="1:13" ht="15.75" customHeight="1" x14ac:dyDescent="0.35">
      <c r="A7" s="3" t="s">
        <v>9</v>
      </c>
      <c r="B7" s="3"/>
      <c r="C7" s="3"/>
      <c r="D7" s="2" t="s">
        <v>10</v>
      </c>
      <c r="E7" s="2"/>
      <c r="F7" s="2"/>
      <c r="G7" s="2"/>
      <c r="H7" s="2"/>
      <c r="I7" s="2"/>
      <c r="J7" s="2"/>
      <c r="K7" s="2"/>
      <c r="L7" s="2"/>
      <c r="M7" s="2"/>
    </row>
    <row r="8" spans="1:13" ht="15.75" customHeight="1" x14ac:dyDescent="0.35">
      <c r="A8" s="3" t="s">
        <v>11</v>
      </c>
      <c r="B8" s="3"/>
      <c r="C8" s="3"/>
      <c r="D8" s="2" t="s">
        <v>12</v>
      </c>
      <c r="E8" s="2"/>
      <c r="F8" s="2"/>
      <c r="G8" s="2"/>
      <c r="H8" s="2"/>
      <c r="I8" s="2"/>
      <c r="J8" s="2"/>
      <c r="K8" s="2"/>
      <c r="L8" s="2"/>
      <c r="M8" s="2"/>
    </row>
    <row r="9" spans="1:13" ht="15.75" customHeight="1" x14ac:dyDescent="0.35">
      <c r="A9" s="3" t="s">
        <v>13</v>
      </c>
      <c r="B9" s="3"/>
      <c r="C9" s="3"/>
      <c r="D9" s="2" t="s">
        <v>14</v>
      </c>
      <c r="E9" s="2"/>
      <c r="F9" s="2"/>
      <c r="G9" s="2"/>
      <c r="H9" s="2"/>
      <c r="I9" s="2"/>
      <c r="J9" s="2"/>
      <c r="K9" s="2"/>
      <c r="L9" s="2"/>
      <c r="M9" s="2"/>
    </row>
    <row r="11" spans="1:13" ht="24" customHeight="1" x14ac:dyDescent="0.35">
      <c r="A11" s="6" t="s">
        <v>15</v>
      </c>
      <c r="B11" s="6" t="s">
        <v>16</v>
      </c>
      <c r="C11" s="6" t="s">
        <v>17</v>
      </c>
      <c r="D11" s="6" t="s">
        <v>18</v>
      </c>
      <c r="E11" s="6" t="s">
        <v>19</v>
      </c>
      <c r="F11" s="6" t="s">
        <v>20</v>
      </c>
      <c r="G11" s="6" t="s">
        <v>21</v>
      </c>
      <c r="H11" s="6" t="s">
        <v>22</v>
      </c>
      <c r="I11" s="6" t="s">
        <v>23</v>
      </c>
      <c r="J11" s="6" t="s">
        <v>24</v>
      </c>
      <c r="K11" s="6" t="s">
        <v>25</v>
      </c>
      <c r="L11" s="6" t="s">
        <v>26</v>
      </c>
      <c r="M11" s="6" t="s">
        <v>27</v>
      </c>
    </row>
    <row r="12" spans="1:13" ht="79.5" customHeight="1" x14ac:dyDescent="0.35">
      <c r="A12" s="7" t="s">
        <v>28</v>
      </c>
      <c r="B12" s="7" t="s">
        <v>29</v>
      </c>
      <c r="C12" s="7" t="s">
        <v>30</v>
      </c>
      <c r="D12" s="7" t="s">
        <v>31</v>
      </c>
      <c r="E12" s="7" t="s">
        <v>32</v>
      </c>
      <c r="F12" s="8" t="s">
        <v>33</v>
      </c>
      <c r="G12" s="8" t="s">
        <v>12</v>
      </c>
      <c r="H12" s="8" t="s">
        <v>34</v>
      </c>
      <c r="I12" s="8" t="s">
        <v>35</v>
      </c>
      <c r="J12" s="8" t="s">
        <v>36</v>
      </c>
      <c r="K12" s="9" t="s">
        <v>37</v>
      </c>
      <c r="L12" s="7" t="s">
        <v>38</v>
      </c>
      <c r="M12" s="8" t="s">
        <v>39</v>
      </c>
    </row>
    <row r="13" spans="1:13" ht="79.5" customHeight="1" x14ac:dyDescent="0.35">
      <c r="A13" s="10" t="s">
        <v>40</v>
      </c>
      <c r="B13" s="10" t="s">
        <v>41</v>
      </c>
      <c r="C13" s="10" t="s">
        <v>30</v>
      </c>
      <c r="D13" s="10" t="s">
        <v>31</v>
      </c>
      <c r="E13" s="10" t="s">
        <v>31</v>
      </c>
      <c r="F13" s="11" t="s">
        <v>42</v>
      </c>
      <c r="G13" s="11" t="s">
        <v>43</v>
      </c>
      <c r="H13" s="11" t="s">
        <v>44</v>
      </c>
      <c r="I13" s="11" t="s">
        <v>45</v>
      </c>
      <c r="J13" s="11" t="s">
        <v>46</v>
      </c>
      <c r="K13" s="9" t="s">
        <v>37</v>
      </c>
      <c r="L13" s="10" t="s">
        <v>38</v>
      </c>
      <c r="M13" s="11" t="s">
        <v>47</v>
      </c>
    </row>
    <row r="14" spans="1:13" ht="79.5" customHeight="1" x14ac:dyDescent="0.35">
      <c r="A14" s="7" t="s">
        <v>48</v>
      </c>
      <c r="B14" s="7" t="s">
        <v>49</v>
      </c>
      <c r="C14" s="7" t="s">
        <v>30</v>
      </c>
      <c r="D14" s="7" t="s">
        <v>31</v>
      </c>
      <c r="E14" s="7" t="s">
        <v>31</v>
      </c>
      <c r="F14" s="8" t="s">
        <v>42</v>
      </c>
      <c r="G14" s="8" t="s">
        <v>50</v>
      </c>
      <c r="H14" s="8" t="s">
        <v>51</v>
      </c>
      <c r="I14" s="8" t="s">
        <v>52</v>
      </c>
      <c r="J14" s="8" t="s">
        <v>53</v>
      </c>
      <c r="K14" s="9" t="s">
        <v>37</v>
      </c>
      <c r="L14" s="7" t="s">
        <v>38</v>
      </c>
      <c r="M14" s="8" t="s">
        <v>54</v>
      </c>
    </row>
    <row r="15" spans="1:13" ht="79.5" customHeight="1" x14ac:dyDescent="0.35">
      <c r="A15" s="10" t="s">
        <v>55</v>
      </c>
      <c r="B15" s="10" t="s">
        <v>56</v>
      </c>
      <c r="C15" s="10" t="s">
        <v>30</v>
      </c>
      <c r="D15" s="10" t="s">
        <v>57</v>
      </c>
      <c r="E15" s="10" t="s">
        <v>57</v>
      </c>
      <c r="F15" s="11" t="s">
        <v>42</v>
      </c>
      <c r="G15" s="11" t="s">
        <v>58</v>
      </c>
      <c r="H15" s="11" t="s">
        <v>59</v>
      </c>
      <c r="I15" s="11" t="s">
        <v>60</v>
      </c>
      <c r="J15" s="11" t="s">
        <v>61</v>
      </c>
      <c r="K15" s="9" t="s">
        <v>37</v>
      </c>
      <c r="L15" s="10" t="s">
        <v>38</v>
      </c>
      <c r="M15" s="11" t="s">
        <v>62</v>
      </c>
    </row>
    <row r="16" spans="1:13" ht="79.5" customHeight="1" x14ac:dyDescent="0.35">
      <c r="A16" s="7" t="s">
        <v>63</v>
      </c>
      <c r="B16" s="7" t="s">
        <v>64</v>
      </c>
      <c r="C16" s="7" t="s">
        <v>30</v>
      </c>
      <c r="D16" s="7" t="s">
        <v>31</v>
      </c>
      <c r="E16" s="7" t="s">
        <v>31</v>
      </c>
      <c r="F16" s="8" t="s">
        <v>65</v>
      </c>
      <c r="G16" s="8" t="s">
        <v>66</v>
      </c>
      <c r="H16" s="8" t="s">
        <v>67</v>
      </c>
      <c r="I16" s="8" t="s">
        <v>68</v>
      </c>
      <c r="J16" s="8" t="s">
        <v>69</v>
      </c>
      <c r="K16" s="9" t="s">
        <v>37</v>
      </c>
      <c r="L16" s="7" t="s">
        <v>38</v>
      </c>
      <c r="M16" s="8" t="s">
        <v>70</v>
      </c>
    </row>
    <row r="17" spans="1:13" ht="79.5" customHeight="1" x14ac:dyDescent="0.35">
      <c r="A17" s="10" t="s">
        <v>71</v>
      </c>
      <c r="B17" s="10" t="s">
        <v>72</v>
      </c>
      <c r="C17" s="10" t="s">
        <v>30</v>
      </c>
      <c r="D17" s="10" t="s">
        <v>31</v>
      </c>
      <c r="E17" s="10" t="s">
        <v>57</v>
      </c>
      <c r="F17" s="11" t="s">
        <v>73</v>
      </c>
      <c r="G17" s="11" t="s">
        <v>74</v>
      </c>
      <c r="H17" s="11" t="s">
        <v>75</v>
      </c>
      <c r="I17" s="11" t="s">
        <v>76</v>
      </c>
      <c r="J17" s="11" t="s">
        <v>77</v>
      </c>
      <c r="K17" s="9" t="s">
        <v>37</v>
      </c>
      <c r="L17" s="10" t="s">
        <v>38</v>
      </c>
      <c r="M17" s="11" t="s">
        <v>78</v>
      </c>
    </row>
    <row r="18" spans="1:13" ht="79.5" customHeight="1" x14ac:dyDescent="0.35">
      <c r="A18" s="7" t="s">
        <v>79</v>
      </c>
      <c r="B18" s="7" t="s">
        <v>80</v>
      </c>
      <c r="C18" s="7" t="s">
        <v>81</v>
      </c>
      <c r="D18" s="7" t="s">
        <v>57</v>
      </c>
      <c r="E18" s="7" t="s">
        <v>82</v>
      </c>
      <c r="F18" s="8" t="s">
        <v>42</v>
      </c>
      <c r="G18" s="8" t="s">
        <v>74</v>
      </c>
      <c r="H18" s="8" t="s">
        <v>83</v>
      </c>
      <c r="I18" s="8" t="s">
        <v>84</v>
      </c>
      <c r="J18" s="8" t="s">
        <v>85</v>
      </c>
      <c r="K18" s="9" t="s">
        <v>37</v>
      </c>
      <c r="L18" s="7" t="s">
        <v>86</v>
      </c>
      <c r="M18" s="8" t="s">
        <v>87</v>
      </c>
    </row>
    <row r="19" spans="1:13" ht="79.5" customHeight="1" x14ac:dyDescent="0.35">
      <c r="A19" s="10" t="s">
        <v>88</v>
      </c>
      <c r="B19" s="10" t="s">
        <v>89</v>
      </c>
      <c r="C19" s="10" t="s">
        <v>81</v>
      </c>
      <c r="D19" s="10" t="s">
        <v>57</v>
      </c>
      <c r="E19" s="10" t="s">
        <v>57</v>
      </c>
      <c r="F19" s="11" t="s">
        <v>42</v>
      </c>
      <c r="G19" s="11" t="s">
        <v>90</v>
      </c>
      <c r="H19" s="11" t="s">
        <v>91</v>
      </c>
      <c r="I19" s="11" t="s">
        <v>92</v>
      </c>
      <c r="J19" s="11" t="s">
        <v>93</v>
      </c>
      <c r="K19" s="9" t="s">
        <v>37</v>
      </c>
      <c r="L19" s="10" t="s">
        <v>94</v>
      </c>
      <c r="M19" s="11" t="s">
        <v>95</v>
      </c>
    </row>
    <row r="20" spans="1:13" ht="79.5" customHeight="1" x14ac:dyDescent="0.35">
      <c r="A20" s="7" t="s">
        <v>96</v>
      </c>
      <c r="B20" s="7" t="s">
        <v>97</v>
      </c>
      <c r="C20" s="7" t="s">
        <v>81</v>
      </c>
      <c r="D20" s="7" t="s">
        <v>57</v>
      </c>
      <c r="E20" s="7" t="s">
        <v>57</v>
      </c>
      <c r="F20" s="8" t="s">
        <v>42</v>
      </c>
      <c r="G20" s="8" t="s">
        <v>74</v>
      </c>
      <c r="H20" s="8" t="s">
        <v>98</v>
      </c>
      <c r="I20" s="8" t="s">
        <v>99</v>
      </c>
      <c r="J20" s="8" t="s">
        <v>100</v>
      </c>
      <c r="K20" s="12" t="s">
        <v>101</v>
      </c>
      <c r="L20" s="7" t="s">
        <v>86</v>
      </c>
      <c r="M20" s="8" t="s">
        <v>102</v>
      </c>
    </row>
    <row r="21" spans="1:13" ht="79.5" customHeight="1" x14ac:dyDescent="0.35">
      <c r="A21" s="10" t="s">
        <v>103</v>
      </c>
      <c r="B21" s="10" t="s">
        <v>104</v>
      </c>
      <c r="C21" s="10" t="s">
        <v>81</v>
      </c>
      <c r="D21" s="10" t="s">
        <v>82</v>
      </c>
      <c r="E21" s="10" t="s">
        <v>82</v>
      </c>
      <c r="F21" s="11" t="s">
        <v>42</v>
      </c>
      <c r="G21" s="11" t="s">
        <v>74</v>
      </c>
      <c r="H21" s="11" t="s">
        <v>105</v>
      </c>
      <c r="I21" s="11" t="s">
        <v>106</v>
      </c>
      <c r="J21" s="11" t="s">
        <v>107</v>
      </c>
      <c r="K21" s="9" t="s">
        <v>37</v>
      </c>
      <c r="L21" s="10" t="s">
        <v>86</v>
      </c>
      <c r="M21" s="11" t="s">
        <v>108</v>
      </c>
    </row>
    <row r="22" spans="1:13" ht="79.5" customHeight="1" x14ac:dyDescent="0.35">
      <c r="A22" s="7" t="s">
        <v>109</v>
      </c>
      <c r="B22" s="7" t="s">
        <v>110</v>
      </c>
      <c r="C22" s="7" t="s">
        <v>111</v>
      </c>
      <c r="D22" s="7" t="s">
        <v>57</v>
      </c>
      <c r="E22" s="7" t="s">
        <v>57</v>
      </c>
      <c r="F22" s="8" t="s">
        <v>112</v>
      </c>
      <c r="G22" s="8" t="s">
        <v>12</v>
      </c>
      <c r="H22" s="8" t="s">
        <v>113</v>
      </c>
      <c r="I22" s="8" t="s">
        <v>114</v>
      </c>
      <c r="J22" s="8" t="s">
        <v>115</v>
      </c>
      <c r="K22" s="9" t="s">
        <v>37</v>
      </c>
      <c r="L22" s="7" t="s">
        <v>116</v>
      </c>
      <c r="M22" s="8" t="s">
        <v>95</v>
      </c>
    </row>
    <row r="23" spans="1:13" ht="79.5" customHeight="1" x14ac:dyDescent="0.35">
      <c r="A23" s="10" t="s">
        <v>117</v>
      </c>
      <c r="B23" s="10" t="s">
        <v>118</v>
      </c>
      <c r="C23" s="10" t="s">
        <v>111</v>
      </c>
      <c r="D23" s="10" t="s">
        <v>57</v>
      </c>
      <c r="E23" s="10" t="s">
        <v>57</v>
      </c>
      <c r="F23" s="11" t="s">
        <v>119</v>
      </c>
      <c r="G23" s="11" t="s">
        <v>74</v>
      </c>
      <c r="H23" s="11" t="s">
        <v>120</v>
      </c>
      <c r="I23" s="11" t="s">
        <v>121</v>
      </c>
      <c r="J23" s="11" t="s">
        <v>122</v>
      </c>
      <c r="K23" s="9" t="s">
        <v>37</v>
      </c>
      <c r="L23" s="10" t="s">
        <v>86</v>
      </c>
      <c r="M23" s="11" t="s">
        <v>123</v>
      </c>
    </row>
    <row r="24" spans="1:13" ht="79.5" customHeight="1" x14ac:dyDescent="0.35">
      <c r="A24" s="7" t="s">
        <v>124</v>
      </c>
      <c r="B24" s="7" t="s">
        <v>125</v>
      </c>
      <c r="C24" s="7" t="s">
        <v>111</v>
      </c>
      <c r="D24" s="7" t="s">
        <v>82</v>
      </c>
      <c r="E24" s="7" t="s">
        <v>82</v>
      </c>
      <c r="F24" s="8" t="s">
        <v>126</v>
      </c>
      <c r="G24" s="8" t="s">
        <v>127</v>
      </c>
      <c r="H24" s="8" t="s">
        <v>128</v>
      </c>
      <c r="I24" s="8" t="s">
        <v>129</v>
      </c>
      <c r="J24" s="8" t="s">
        <v>130</v>
      </c>
      <c r="K24" s="12" t="s">
        <v>101</v>
      </c>
      <c r="L24" s="7" t="s">
        <v>38</v>
      </c>
      <c r="M24" s="8" t="s">
        <v>131</v>
      </c>
    </row>
    <row r="25" spans="1:13" ht="79.5" customHeight="1" x14ac:dyDescent="0.35">
      <c r="A25" s="10" t="s">
        <v>132</v>
      </c>
      <c r="B25" s="10" t="s">
        <v>133</v>
      </c>
      <c r="C25" s="10" t="s">
        <v>134</v>
      </c>
      <c r="D25" s="10" t="s">
        <v>31</v>
      </c>
      <c r="E25" s="10" t="s">
        <v>57</v>
      </c>
      <c r="F25" s="11" t="s">
        <v>42</v>
      </c>
      <c r="G25" s="11" t="s">
        <v>135</v>
      </c>
      <c r="H25" s="11" t="s">
        <v>136</v>
      </c>
      <c r="I25" s="11" t="s">
        <v>137</v>
      </c>
      <c r="J25" s="11" t="s">
        <v>138</v>
      </c>
      <c r="K25" s="9" t="s">
        <v>37</v>
      </c>
      <c r="L25" s="10" t="s">
        <v>38</v>
      </c>
      <c r="M25" s="11" t="s">
        <v>139</v>
      </c>
    </row>
    <row r="26" spans="1:13" ht="79.5" customHeight="1" x14ac:dyDescent="0.35">
      <c r="A26" s="7" t="s">
        <v>140</v>
      </c>
      <c r="B26" s="7" t="s">
        <v>133</v>
      </c>
      <c r="C26" s="7" t="s">
        <v>134</v>
      </c>
      <c r="D26" s="7" t="s">
        <v>31</v>
      </c>
      <c r="E26" s="7" t="s">
        <v>57</v>
      </c>
      <c r="F26" s="8" t="s">
        <v>42</v>
      </c>
      <c r="G26" s="8" t="s">
        <v>141</v>
      </c>
      <c r="H26" s="8" t="s">
        <v>142</v>
      </c>
      <c r="I26" s="8" t="s">
        <v>137</v>
      </c>
      <c r="J26" s="8" t="s">
        <v>143</v>
      </c>
      <c r="K26" s="9" t="s">
        <v>37</v>
      </c>
      <c r="L26" s="7" t="s">
        <v>38</v>
      </c>
      <c r="M26" s="8" t="s">
        <v>144</v>
      </c>
    </row>
    <row r="27" spans="1:13" ht="79.5" customHeight="1" x14ac:dyDescent="0.35">
      <c r="A27" s="10" t="s">
        <v>145</v>
      </c>
      <c r="B27" s="10" t="s">
        <v>133</v>
      </c>
      <c r="C27" s="10" t="s">
        <v>134</v>
      </c>
      <c r="D27" s="10" t="s">
        <v>57</v>
      </c>
      <c r="E27" s="10" t="s">
        <v>57</v>
      </c>
      <c r="F27" s="11" t="s">
        <v>42</v>
      </c>
      <c r="G27" s="11" t="s">
        <v>146</v>
      </c>
      <c r="H27" s="11" t="s">
        <v>147</v>
      </c>
      <c r="I27" s="11" t="s">
        <v>148</v>
      </c>
      <c r="J27" s="11" t="s">
        <v>149</v>
      </c>
      <c r="K27" s="9" t="s">
        <v>37</v>
      </c>
      <c r="L27" s="10" t="s">
        <v>38</v>
      </c>
      <c r="M27" s="11" t="s">
        <v>150</v>
      </c>
    </row>
    <row r="28" spans="1:13" ht="79.5" customHeight="1" x14ac:dyDescent="0.35">
      <c r="A28" s="7" t="s">
        <v>151</v>
      </c>
      <c r="B28" s="7" t="s">
        <v>152</v>
      </c>
      <c r="C28" s="7" t="s">
        <v>134</v>
      </c>
      <c r="D28" s="7" t="s">
        <v>57</v>
      </c>
      <c r="E28" s="7" t="s">
        <v>82</v>
      </c>
      <c r="F28" s="8" t="s">
        <v>42</v>
      </c>
      <c r="G28" s="8" t="s">
        <v>153</v>
      </c>
      <c r="H28" s="8" t="s">
        <v>154</v>
      </c>
      <c r="I28" s="8" t="s">
        <v>155</v>
      </c>
      <c r="J28" s="8" t="s">
        <v>156</v>
      </c>
      <c r="K28" s="12" t="s">
        <v>101</v>
      </c>
      <c r="L28" s="7" t="s">
        <v>38</v>
      </c>
      <c r="M28" s="8" t="s">
        <v>157</v>
      </c>
    </row>
    <row r="29" spans="1:13" ht="79.5" customHeight="1" x14ac:dyDescent="0.35">
      <c r="A29" s="10" t="s">
        <v>158</v>
      </c>
      <c r="B29" s="10" t="s">
        <v>159</v>
      </c>
      <c r="C29" s="10" t="s">
        <v>160</v>
      </c>
      <c r="D29" s="10" t="s">
        <v>31</v>
      </c>
      <c r="E29" s="10" t="s">
        <v>32</v>
      </c>
      <c r="F29" s="11" t="s">
        <v>42</v>
      </c>
      <c r="G29" s="11" t="s">
        <v>161</v>
      </c>
      <c r="H29" s="11" t="s">
        <v>162</v>
      </c>
      <c r="I29" s="11" t="s">
        <v>163</v>
      </c>
      <c r="J29" s="11" t="s">
        <v>164</v>
      </c>
      <c r="K29" s="9" t="s">
        <v>37</v>
      </c>
      <c r="L29" s="10" t="s">
        <v>38</v>
      </c>
      <c r="M29" s="11" t="s">
        <v>165</v>
      </c>
    </row>
    <row r="30" spans="1:13" ht="79.5" customHeight="1" x14ac:dyDescent="0.35">
      <c r="A30" s="7" t="s">
        <v>166</v>
      </c>
      <c r="B30" s="7" t="s">
        <v>167</v>
      </c>
      <c r="C30" s="7" t="s">
        <v>160</v>
      </c>
      <c r="D30" s="7" t="s">
        <v>31</v>
      </c>
      <c r="E30" s="7" t="s">
        <v>31</v>
      </c>
      <c r="F30" s="8" t="s">
        <v>42</v>
      </c>
      <c r="G30" s="8" t="s">
        <v>168</v>
      </c>
      <c r="H30" s="8" t="s">
        <v>169</v>
      </c>
      <c r="I30" s="8" t="s">
        <v>170</v>
      </c>
      <c r="J30" s="8" t="s">
        <v>171</v>
      </c>
      <c r="K30" s="9" t="s">
        <v>37</v>
      </c>
      <c r="L30" s="7" t="s">
        <v>172</v>
      </c>
      <c r="M30" s="8" t="s">
        <v>173</v>
      </c>
    </row>
    <row r="31" spans="1:13" ht="79.5" customHeight="1" x14ac:dyDescent="0.35">
      <c r="A31" s="10" t="s">
        <v>174</v>
      </c>
      <c r="B31" s="10" t="s">
        <v>175</v>
      </c>
      <c r="C31" s="10" t="s">
        <v>160</v>
      </c>
      <c r="D31" s="10" t="s">
        <v>57</v>
      </c>
      <c r="E31" s="10" t="s">
        <v>57</v>
      </c>
      <c r="F31" s="11" t="s">
        <v>42</v>
      </c>
      <c r="G31" s="11" t="s">
        <v>176</v>
      </c>
      <c r="H31" s="11" t="s">
        <v>177</v>
      </c>
      <c r="I31" s="11" t="s">
        <v>178</v>
      </c>
      <c r="J31" s="11" t="s">
        <v>179</v>
      </c>
      <c r="K31" s="9" t="s">
        <v>37</v>
      </c>
      <c r="L31" s="10" t="s">
        <v>38</v>
      </c>
      <c r="M31" s="11" t="s">
        <v>95</v>
      </c>
    </row>
    <row r="32" spans="1:13" ht="79.5" customHeight="1" x14ac:dyDescent="0.35">
      <c r="A32" s="7" t="s">
        <v>180</v>
      </c>
      <c r="B32" s="7" t="s">
        <v>175</v>
      </c>
      <c r="C32" s="7" t="s">
        <v>160</v>
      </c>
      <c r="D32" s="7" t="s">
        <v>82</v>
      </c>
      <c r="E32" s="7" t="s">
        <v>82</v>
      </c>
      <c r="F32" s="8" t="s">
        <v>42</v>
      </c>
      <c r="G32" s="8" t="s">
        <v>181</v>
      </c>
      <c r="H32" s="8" t="s">
        <v>182</v>
      </c>
      <c r="I32" s="8" t="s">
        <v>183</v>
      </c>
      <c r="J32" s="8" t="s">
        <v>184</v>
      </c>
      <c r="K32" s="9" t="s">
        <v>37</v>
      </c>
      <c r="L32" s="7" t="s">
        <v>38</v>
      </c>
      <c r="M32" s="8" t="s">
        <v>185</v>
      </c>
    </row>
    <row r="33" spans="1:13" ht="79.5" customHeight="1" x14ac:dyDescent="0.35">
      <c r="A33" s="10" t="s">
        <v>186</v>
      </c>
      <c r="B33" s="10" t="s">
        <v>187</v>
      </c>
      <c r="C33" s="10" t="s">
        <v>188</v>
      </c>
      <c r="D33" s="10" t="s">
        <v>57</v>
      </c>
      <c r="E33" s="10" t="s">
        <v>57</v>
      </c>
      <c r="F33" s="11" t="s">
        <v>189</v>
      </c>
      <c r="G33" s="11" t="s">
        <v>74</v>
      </c>
      <c r="H33" s="11" t="s">
        <v>190</v>
      </c>
      <c r="I33" s="11" t="s">
        <v>191</v>
      </c>
      <c r="J33" s="11" t="s">
        <v>192</v>
      </c>
      <c r="K33" s="9" t="s">
        <v>37</v>
      </c>
      <c r="L33" s="10" t="s">
        <v>193</v>
      </c>
      <c r="M33" s="11" t="s">
        <v>194</v>
      </c>
    </row>
    <row r="34" spans="1:13" ht="79.5" customHeight="1" x14ac:dyDescent="0.35">
      <c r="A34" s="7" t="s">
        <v>195</v>
      </c>
      <c r="B34" s="7" t="s">
        <v>187</v>
      </c>
      <c r="C34" s="7" t="s">
        <v>188</v>
      </c>
      <c r="D34" s="7" t="s">
        <v>82</v>
      </c>
      <c r="E34" s="7" t="s">
        <v>82</v>
      </c>
      <c r="F34" s="8" t="s">
        <v>189</v>
      </c>
      <c r="G34" s="8" t="s">
        <v>74</v>
      </c>
      <c r="H34" s="8" t="s">
        <v>196</v>
      </c>
      <c r="I34" s="8" t="s">
        <v>197</v>
      </c>
      <c r="J34" s="8" t="s">
        <v>198</v>
      </c>
      <c r="K34" s="9" t="s">
        <v>37</v>
      </c>
      <c r="L34" s="7" t="s">
        <v>193</v>
      </c>
      <c r="M34" s="8" t="s">
        <v>95</v>
      </c>
    </row>
    <row r="35" spans="1:13" ht="79.5" customHeight="1" x14ac:dyDescent="0.35">
      <c r="A35" s="10" t="s">
        <v>199</v>
      </c>
      <c r="B35" s="10" t="s">
        <v>187</v>
      </c>
      <c r="C35" s="10" t="s">
        <v>188</v>
      </c>
      <c r="D35" s="10" t="s">
        <v>82</v>
      </c>
      <c r="E35" s="10" t="s">
        <v>82</v>
      </c>
      <c r="F35" s="11" t="s">
        <v>189</v>
      </c>
      <c r="G35" s="11" t="s">
        <v>74</v>
      </c>
      <c r="H35" s="11" t="s">
        <v>200</v>
      </c>
      <c r="I35" s="11" t="s">
        <v>201</v>
      </c>
      <c r="J35" s="11" t="s">
        <v>202</v>
      </c>
      <c r="K35" s="9" t="s">
        <v>37</v>
      </c>
      <c r="L35" s="10" t="s">
        <v>86</v>
      </c>
      <c r="M35" s="11" t="s">
        <v>95</v>
      </c>
    </row>
    <row r="36" spans="1:13" ht="79.5" customHeight="1" x14ac:dyDescent="0.35">
      <c r="A36" s="7" t="s">
        <v>203</v>
      </c>
      <c r="B36" s="7" t="s">
        <v>104</v>
      </c>
      <c r="C36" s="7" t="s">
        <v>204</v>
      </c>
      <c r="D36" s="7" t="s">
        <v>31</v>
      </c>
      <c r="E36" s="7" t="s">
        <v>57</v>
      </c>
      <c r="F36" s="8" t="s">
        <v>205</v>
      </c>
      <c r="G36" s="8" t="s">
        <v>74</v>
      </c>
      <c r="H36" s="8" t="s">
        <v>206</v>
      </c>
      <c r="I36" s="8" t="s">
        <v>207</v>
      </c>
      <c r="J36" s="8" t="s">
        <v>208</v>
      </c>
      <c r="K36" s="9" t="s">
        <v>37</v>
      </c>
      <c r="L36" s="7" t="s">
        <v>38</v>
      </c>
      <c r="M36" s="8" t="s">
        <v>209</v>
      </c>
    </row>
    <row r="37" spans="1:13" ht="79.5" customHeight="1" x14ac:dyDescent="0.35">
      <c r="A37" s="10" t="s">
        <v>210</v>
      </c>
      <c r="B37" s="10" t="s">
        <v>104</v>
      </c>
      <c r="C37" s="10" t="s">
        <v>204</v>
      </c>
      <c r="D37" s="10" t="s">
        <v>57</v>
      </c>
      <c r="E37" s="10" t="s">
        <v>57</v>
      </c>
      <c r="F37" s="11" t="s">
        <v>211</v>
      </c>
      <c r="G37" s="11" t="s">
        <v>74</v>
      </c>
      <c r="H37" s="11" t="s">
        <v>212</v>
      </c>
      <c r="I37" s="11" t="s">
        <v>213</v>
      </c>
      <c r="J37" s="11" t="s">
        <v>214</v>
      </c>
      <c r="K37" s="9" t="s">
        <v>37</v>
      </c>
      <c r="L37" s="10" t="s">
        <v>86</v>
      </c>
      <c r="M37" s="11" t="s">
        <v>215</v>
      </c>
    </row>
    <row r="38" spans="1:13" ht="79.5" customHeight="1" x14ac:dyDescent="0.35">
      <c r="A38" s="7" t="s">
        <v>216</v>
      </c>
      <c r="B38" s="7" t="s">
        <v>104</v>
      </c>
      <c r="C38" s="7" t="s">
        <v>217</v>
      </c>
      <c r="D38" s="7" t="s">
        <v>57</v>
      </c>
      <c r="E38" s="7" t="s">
        <v>57</v>
      </c>
      <c r="F38" s="8" t="s">
        <v>218</v>
      </c>
      <c r="G38" s="8" t="s">
        <v>219</v>
      </c>
      <c r="H38" s="8" t="s">
        <v>220</v>
      </c>
      <c r="I38" s="8" t="s">
        <v>221</v>
      </c>
      <c r="J38" s="8" t="s">
        <v>222</v>
      </c>
      <c r="K38" s="9" t="s">
        <v>37</v>
      </c>
      <c r="L38" s="7" t="s">
        <v>86</v>
      </c>
      <c r="M38" s="8" t="s">
        <v>223</v>
      </c>
    </row>
    <row r="39" spans="1:13" ht="79.5" customHeight="1" x14ac:dyDescent="0.35">
      <c r="A39" s="10" t="s">
        <v>224</v>
      </c>
      <c r="B39" s="10" t="s">
        <v>104</v>
      </c>
      <c r="C39" s="10" t="s">
        <v>217</v>
      </c>
      <c r="D39" s="10" t="s">
        <v>57</v>
      </c>
      <c r="E39" s="10" t="s">
        <v>82</v>
      </c>
      <c r="F39" s="11" t="s">
        <v>218</v>
      </c>
      <c r="G39" s="11" t="s">
        <v>225</v>
      </c>
      <c r="H39" s="11" t="s">
        <v>226</v>
      </c>
      <c r="I39" s="11" t="s">
        <v>227</v>
      </c>
      <c r="J39" s="11" t="s">
        <v>228</v>
      </c>
      <c r="K39" s="9" t="s">
        <v>37</v>
      </c>
      <c r="L39" s="10" t="s">
        <v>86</v>
      </c>
      <c r="M39" s="11" t="s">
        <v>95</v>
      </c>
    </row>
    <row r="40" spans="1:13" ht="79.5" customHeight="1" x14ac:dyDescent="0.35">
      <c r="A40" s="7" t="s">
        <v>229</v>
      </c>
      <c r="B40" s="7" t="s">
        <v>104</v>
      </c>
      <c r="C40" s="7" t="s">
        <v>217</v>
      </c>
      <c r="D40" s="7" t="s">
        <v>82</v>
      </c>
      <c r="E40" s="7" t="s">
        <v>82</v>
      </c>
      <c r="F40" s="8" t="s">
        <v>230</v>
      </c>
      <c r="G40" s="8" t="s">
        <v>231</v>
      </c>
      <c r="H40" s="8" t="s">
        <v>232</v>
      </c>
      <c r="I40" s="8" t="s">
        <v>233</v>
      </c>
      <c r="J40" s="8" t="s">
        <v>234</v>
      </c>
      <c r="K40" s="9" t="s">
        <v>37</v>
      </c>
      <c r="L40" s="7" t="s">
        <v>86</v>
      </c>
      <c r="M40" s="8" t="s">
        <v>95</v>
      </c>
    </row>
    <row r="41" spans="1:13" ht="79.5" customHeight="1" x14ac:dyDescent="0.35">
      <c r="A41" s="10" t="s">
        <v>235</v>
      </c>
      <c r="B41" s="10" t="s">
        <v>236</v>
      </c>
      <c r="C41" s="10" t="s">
        <v>237</v>
      </c>
      <c r="D41" s="10" t="s">
        <v>31</v>
      </c>
      <c r="E41" s="10" t="s">
        <v>31</v>
      </c>
      <c r="F41" s="11" t="s">
        <v>74</v>
      </c>
      <c r="G41" s="11" t="s">
        <v>74</v>
      </c>
      <c r="H41" s="11" t="s">
        <v>238</v>
      </c>
      <c r="I41" s="11" t="s">
        <v>239</v>
      </c>
      <c r="J41" s="11" t="s">
        <v>240</v>
      </c>
      <c r="K41" s="9" t="s">
        <v>37</v>
      </c>
      <c r="L41" s="10" t="s">
        <v>241</v>
      </c>
      <c r="M41" s="11" t="s">
        <v>242</v>
      </c>
    </row>
    <row r="42" spans="1:13" ht="79.5" customHeight="1" x14ac:dyDescent="0.35">
      <c r="A42" s="7" t="s">
        <v>243</v>
      </c>
      <c r="B42" s="7" t="s">
        <v>89</v>
      </c>
      <c r="C42" s="7" t="s">
        <v>237</v>
      </c>
      <c r="D42" s="7" t="s">
        <v>57</v>
      </c>
      <c r="E42" s="7" t="s">
        <v>57</v>
      </c>
      <c r="F42" s="8" t="s">
        <v>42</v>
      </c>
      <c r="G42" s="8" t="s">
        <v>90</v>
      </c>
      <c r="H42" s="8" t="s">
        <v>244</v>
      </c>
      <c r="I42" s="8" t="s">
        <v>245</v>
      </c>
      <c r="J42" s="8" t="s">
        <v>246</v>
      </c>
      <c r="K42" s="9" t="s">
        <v>37</v>
      </c>
      <c r="L42" s="7" t="s">
        <v>247</v>
      </c>
      <c r="M42" s="8" t="s">
        <v>95</v>
      </c>
    </row>
    <row r="43" spans="1:13" ht="79.5" customHeight="1" x14ac:dyDescent="0.35">
      <c r="A43" s="10" t="s">
        <v>248</v>
      </c>
      <c r="B43" s="10" t="s">
        <v>236</v>
      </c>
      <c r="C43" s="10" t="s">
        <v>237</v>
      </c>
      <c r="D43" s="10" t="s">
        <v>57</v>
      </c>
      <c r="E43" s="10" t="s">
        <v>57</v>
      </c>
      <c r="F43" s="11" t="s">
        <v>42</v>
      </c>
      <c r="G43" s="11" t="s">
        <v>12</v>
      </c>
      <c r="H43" s="11" t="s">
        <v>249</v>
      </c>
      <c r="I43" s="11" t="s">
        <v>250</v>
      </c>
      <c r="J43" s="11" t="s">
        <v>251</v>
      </c>
      <c r="K43" s="9" t="s">
        <v>37</v>
      </c>
      <c r="L43" s="10" t="s">
        <v>252</v>
      </c>
      <c r="M43" s="11" t="s">
        <v>95</v>
      </c>
    </row>
    <row r="44" spans="1:13" ht="79.5" customHeight="1" x14ac:dyDescent="0.35">
      <c r="A44" s="7" t="s">
        <v>253</v>
      </c>
      <c r="B44" s="7" t="s">
        <v>97</v>
      </c>
      <c r="C44" s="7" t="s">
        <v>254</v>
      </c>
      <c r="D44" s="7" t="s">
        <v>57</v>
      </c>
      <c r="E44" s="7" t="s">
        <v>57</v>
      </c>
      <c r="F44" s="8" t="s">
        <v>42</v>
      </c>
      <c r="G44" s="8" t="s">
        <v>12</v>
      </c>
      <c r="H44" s="8" t="s">
        <v>255</v>
      </c>
      <c r="I44" s="8" t="s">
        <v>256</v>
      </c>
      <c r="J44" s="8" t="s">
        <v>257</v>
      </c>
      <c r="K44" s="9" t="s">
        <v>37</v>
      </c>
      <c r="L44" s="7" t="s">
        <v>38</v>
      </c>
      <c r="M44" s="8" t="s">
        <v>258</v>
      </c>
    </row>
    <row r="45" spans="1:13" ht="79.5" customHeight="1" x14ac:dyDescent="0.35">
      <c r="A45" s="10" t="s">
        <v>259</v>
      </c>
      <c r="B45" s="10" t="s">
        <v>56</v>
      </c>
      <c r="C45" s="10" t="s">
        <v>254</v>
      </c>
      <c r="D45" s="10" t="s">
        <v>31</v>
      </c>
      <c r="E45" s="10" t="s">
        <v>57</v>
      </c>
      <c r="F45" s="11" t="s">
        <v>42</v>
      </c>
      <c r="G45" s="11" t="s">
        <v>260</v>
      </c>
      <c r="H45" s="11" t="s">
        <v>261</v>
      </c>
      <c r="I45" s="11" t="s">
        <v>262</v>
      </c>
      <c r="J45" s="11" t="s">
        <v>263</v>
      </c>
      <c r="K45" s="9" t="s">
        <v>37</v>
      </c>
      <c r="L45" s="10" t="s">
        <v>264</v>
      </c>
      <c r="M45" s="11" t="s">
        <v>265</v>
      </c>
    </row>
    <row r="46" spans="1:13" ht="79.5" customHeight="1" x14ac:dyDescent="0.35">
      <c r="A46" s="7" t="s">
        <v>266</v>
      </c>
      <c r="B46" s="7" t="s">
        <v>125</v>
      </c>
      <c r="C46" s="7" t="s">
        <v>254</v>
      </c>
      <c r="D46" s="7" t="s">
        <v>82</v>
      </c>
      <c r="E46" s="7" t="s">
        <v>82</v>
      </c>
      <c r="F46" s="8" t="s">
        <v>74</v>
      </c>
      <c r="G46" s="8" t="s">
        <v>267</v>
      </c>
      <c r="H46" s="8" t="s">
        <v>268</v>
      </c>
      <c r="I46" s="8" t="s">
        <v>269</v>
      </c>
      <c r="J46" s="8" t="s">
        <v>270</v>
      </c>
      <c r="K46" s="9" t="s">
        <v>37</v>
      </c>
      <c r="L46" s="7" t="s">
        <v>271</v>
      </c>
      <c r="M46" s="8" t="s">
        <v>95</v>
      </c>
    </row>
  </sheetData>
  <autoFilter ref="A11:M46" xr:uid="{00000000-0009-0000-0000-000000000000}"/>
  <mergeCells count="16">
    <mergeCell ref="A8:C8"/>
    <mergeCell ref="D8:M8"/>
    <mergeCell ref="A9:C9"/>
    <mergeCell ref="D9:M9"/>
    <mergeCell ref="A5:C5"/>
    <mergeCell ref="D5:M5"/>
    <mergeCell ref="A6:C6"/>
    <mergeCell ref="D6:M6"/>
    <mergeCell ref="A7:C7"/>
    <mergeCell ref="D7:M7"/>
    <mergeCell ref="A1:M1"/>
    <mergeCell ref="A2:M2"/>
    <mergeCell ref="A3:C3"/>
    <mergeCell ref="D3:M3"/>
    <mergeCell ref="A4:C4"/>
    <mergeCell ref="D4:M4"/>
  </mergeCells>
  <dataValidations count="2">
    <dataValidation type="list" allowBlank="1" sqref="K12:K46" xr:uid="{00000000-0002-0000-0000-000000000000}">
      <formula1>"Pass,Fail,Blocked,Not Executed"</formula1>
      <formula2>0</formula2>
    </dataValidation>
    <dataValidation type="list" allowBlank="1" sqref="D12:E46" xr:uid="{00000000-0002-0000-0000-000001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showGridLines="0" zoomScaleNormal="100" workbookViewId="0"/>
  </sheetViews>
  <sheetFormatPr defaultColWidth="8.6328125" defaultRowHeight="14.5" x14ac:dyDescent="0.35"/>
  <cols>
    <col min="1" max="1" width="22" customWidth="1"/>
    <col min="2" max="4" width="11" customWidth="1"/>
  </cols>
  <sheetData>
    <row r="1" spans="1:4" ht="24" customHeight="1" x14ac:dyDescent="0.35">
      <c r="A1" s="1" t="s">
        <v>272</v>
      </c>
      <c r="B1" s="1"/>
      <c r="C1" s="1"/>
      <c r="D1" s="1"/>
    </row>
    <row r="3" spans="1:4" x14ac:dyDescent="0.35">
      <c r="A3" s="13" t="s">
        <v>273</v>
      </c>
      <c r="B3" s="14" t="s">
        <v>274</v>
      </c>
    </row>
    <row r="4" spans="1:4" x14ac:dyDescent="0.35">
      <c r="A4" s="13" t="s">
        <v>275</v>
      </c>
      <c r="B4" s="14">
        <f>COUNTA('Test Cases'!A12:A46)</f>
        <v>35</v>
      </c>
    </row>
    <row r="5" spans="1:4" x14ac:dyDescent="0.35">
      <c r="A5" s="15" t="s">
        <v>25</v>
      </c>
      <c r="B5" s="15" t="s">
        <v>276</v>
      </c>
      <c r="C5" s="15" t="s">
        <v>277</v>
      </c>
    </row>
    <row r="6" spans="1:4" x14ac:dyDescent="0.35">
      <c r="A6" s="16" t="s">
        <v>37</v>
      </c>
      <c r="B6" s="17">
        <f>COUNTIF('Test Cases'!K12:K46,A6)</f>
        <v>32</v>
      </c>
      <c r="C6" s="18">
        <f>IFERROR(B6/$B$4,0)</f>
        <v>0.91428571428571426</v>
      </c>
    </row>
    <row r="7" spans="1:4" x14ac:dyDescent="0.35">
      <c r="A7" s="19" t="s">
        <v>101</v>
      </c>
      <c r="B7" s="17">
        <f>COUNTIF('Test Cases'!K12:K46,A7)</f>
        <v>3</v>
      </c>
      <c r="C7" s="18">
        <f>IFERROR(B7/$B$4,0)</f>
        <v>8.5714285714285715E-2</v>
      </c>
    </row>
    <row r="8" spans="1:4" x14ac:dyDescent="0.35">
      <c r="A8" s="20" t="s">
        <v>278</v>
      </c>
      <c r="B8" s="17">
        <f>COUNTIF('Test Cases'!K12:K46,A8)</f>
        <v>0</v>
      </c>
      <c r="C8" s="18">
        <f>IFERROR(B8/$B$4,0)</f>
        <v>0</v>
      </c>
    </row>
    <row r="9" spans="1:4" x14ac:dyDescent="0.35">
      <c r="A9" s="21" t="s">
        <v>279</v>
      </c>
      <c r="B9" s="17">
        <f>COUNTIF('Test Cases'!K12:K46,A9)</f>
        <v>0</v>
      </c>
      <c r="C9" s="18">
        <f>IFERROR(B9/$B$4,0)</f>
        <v>0</v>
      </c>
    </row>
    <row r="10" spans="1:4" x14ac:dyDescent="0.35">
      <c r="A10" s="13" t="s">
        <v>280</v>
      </c>
      <c r="B10" s="22">
        <f>IFERROR(B6/(B6+B7),0)</f>
        <v>0.91428571428571426</v>
      </c>
    </row>
    <row r="12" spans="1:4" x14ac:dyDescent="0.35">
      <c r="A12" s="15" t="s">
        <v>17</v>
      </c>
      <c r="B12" s="15" t="s">
        <v>281</v>
      </c>
      <c r="C12" s="15" t="s">
        <v>37</v>
      </c>
      <c r="D12" s="15" t="s">
        <v>101</v>
      </c>
    </row>
    <row r="13" spans="1:4" x14ac:dyDescent="0.35">
      <c r="A13" s="23" t="s">
        <v>30</v>
      </c>
      <c r="B13" s="17">
        <f>COUNTIF('Test Cases'!C12:C46,A13)</f>
        <v>6</v>
      </c>
      <c r="C13" s="17">
        <f>COUNTIFS('Test Cases'!C12:C46,A13,'Test Cases'!K12:K46,"Pass")</f>
        <v>6</v>
      </c>
      <c r="D13" s="17">
        <f>COUNTIFS('Test Cases'!C12:C46,A13,'Test Cases'!K12:K46,"Fail")</f>
        <v>0</v>
      </c>
    </row>
    <row r="14" spans="1:4" x14ac:dyDescent="0.35">
      <c r="A14" s="23" t="s">
        <v>81</v>
      </c>
      <c r="B14" s="17">
        <f>COUNTIF('Test Cases'!C12:C46,A14)</f>
        <v>4</v>
      </c>
      <c r="C14" s="17">
        <f>COUNTIFS('Test Cases'!C12:C46,A14,'Test Cases'!K12:K46,"Pass")</f>
        <v>3</v>
      </c>
      <c r="D14" s="17">
        <f>COUNTIFS('Test Cases'!C12:C46,A14,'Test Cases'!K12:K46,"Fail")</f>
        <v>1</v>
      </c>
    </row>
    <row r="15" spans="1:4" x14ac:dyDescent="0.35">
      <c r="A15" s="23" t="s">
        <v>111</v>
      </c>
      <c r="B15" s="17">
        <f>COUNTIF('Test Cases'!C12:C46,A15)</f>
        <v>3</v>
      </c>
      <c r="C15" s="17">
        <f>COUNTIFS('Test Cases'!C12:C46,A15,'Test Cases'!K12:K46,"Pass")</f>
        <v>2</v>
      </c>
      <c r="D15" s="17">
        <f>COUNTIFS('Test Cases'!C12:C46,A15,'Test Cases'!K12:K46,"Fail")</f>
        <v>1</v>
      </c>
    </row>
    <row r="16" spans="1:4" x14ac:dyDescent="0.35">
      <c r="A16" s="23" t="s">
        <v>134</v>
      </c>
      <c r="B16" s="17">
        <f>COUNTIF('Test Cases'!C12:C46,A16)</f>
        <v>4</v>
      </c>
      <c r="C16" s="17">
        <f>COUNTIFS('Test Cases'!C12:C46,A16,'Test Cases'!K12:K46,"Pass")</f>
        <v>3</v>
      </c>
      <c r="D16" s="17">
        <f>COUNTIFS('Test Cases'!C12:C46,A16,'Test Cases'!K12:K46,"Fail")</f>
        <v>1</v>
      </c>
    </row>
    <row r="17" spans="1:4" x14ac:dyDescent="0.35">
      <c r="A17" s="23" t="s">
        <v>160</v>
      </c>
      <c r="B17" s="17">
        <f>COUNTIF('Test Cases'!C12:C46,A17)</f>
        <v>4</v>
      </c>
      <c r="C17" s="17">
        <f>COUNTIFS('Test Cases'!C12:C46,A17,'Test Cases'!K12:K46,"Pass")</f>
        <v>4</v>
      </c>
      <c r="D17" s="17">
        <f>COUNTIFS('Test Cases'!C12:C46,A17,'Test Cases'!K12:K46,"Fail")</f>
        <v>0</v>
      </c>
    </row>
    <row r="18" spans="1:4" x14ac:dyDescent="0.35">
      <c r="A18" s="23" t="s">
        <v>188</v>
      </c>
      <c r="B18" s="17">
        <f>COUNTIF('Test Cases'!C12:C46,A18)</f>
        <v>3</v>
      </c>
      <c r="C18" s="17">
        <f>COUNTIFS('Test Cases'!C12:C46,A18,'Test Cases'!K12:K46,"Pass")</f>
        <v>3</v>
      </c>
      <c r="D18" s="17">
        <f>COUNTIFS('Test Cases'!C12:C46,A18,'Test Cases'!K12:K46,"Fail")</f>
        <v>0</v>
      </c>
    </row>
    <row r="19" spans="1:4" x14ac:dyDescent="0.35">
      <c r="A19" s="23" t="s">
        <v>204</v>
      </c>
      <c r="B19" s="17">
        <f>COUNTIF('Test Cases'!C12:C46,A19)</f>
        <v>2</v>
      </c>
      <c r="C19" s="17">
        <f>COUNTIFS('Test Cases'!C12:C46,A19,'Test Cases'!K12:K46,"Pass")</f>
        <v>2</v>
      </c>
      <c r="D19" s="17">
        <f>COUNTIFS('Test Cases'!C12:C46,A19,'Test Cases'!K12:K46,"Fail")</f>
        <v>0</v>
      </c>
    </row>
    <row r="20" spans="1:4" x14ac:dyDescent="0.35">
      <c r="A20" s="23" t="s">
        <v>217</v>
      </c>
      <c r="B20" s="17">
        <f>COUNTIF('Test Cases'!C12:C46,A20)</f>
        <v>3</v>
      </c>
      <c r="C20" s="17">
        <f>COUNTIFS('Test Cases'!C12:C46,A20,'Test Cases'!K12:K46,"Pass")</f>
        <v>3</v>
      </c>
      <c r="D20" s="17">
        <f>COUNTIFS('Test Cases'!C12:C46,A20,'Test Cases'!K12:K46,"Fail")</f>
        <v>0</v>
      </c>
    </row>
    <row r="21" spans="1:4" x14ac:dyDescent="0.35">
      <c r="A21" s="23" t="s">
        <v>237</v>
      </c>
      <c r="B21" s="17">
        <f>COUNTIF('Test Cases'!C12:C46,A21)</f>
        <v>3</v>
      </c>
      <c r="C21" s="17">
        <f>COUNTIFS('Test Cases'!C12:C46,A21,'Test Cases'!K12:K46,"Pass")</f>
        <v>3</v>
      </c>
      <c r="D21" s="17">
        <f>COUNTIFS('Test Cases'!C12:C46,A21,'Test Cases'!K12:K46,"Fail")</f>
        <v>0</v>
      </c>
    </row>
    <row r="22" spans="1:4" x14ac:dyDescent="0.35">
      <c r="A22" s="23" t="s">
        <v>254</v>
      </c>
      <c r="B22" s="17">
        <f>COUNTIF('Test Cases'!C12:C46,A22)</f>
        <v>3</v>
      </c>
      <c r="C22" s="17">
        <f>COUNTIFS('Test Cases'!C12:C46,A22,'Test Cases'!K12:K46,"Pass")</f>
        <v>3</v>
      </c>
      <c r="D22" s="17">
        <f>COUNTIFS('Test Cases'!C12:C46,A22,'Test Cases'!K12:K46,"Fail")</f>
        <v>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Abhishek Sisodiya</cp:lastModifiedBy>
  <cp:revision>0</cp:revision>
  <dcterms:created xsi:type="dcterms:W3CDTF">2026-07-29T02:09:54Z</dcterms:created>
  <dcterms:modified xsi:type="dcterms:W3CDTF">2026-08-04T05:15:29Z</dcterms:modified>
  <dc:language>en-US</dc:language>
</cp:coreProperties>
</file>