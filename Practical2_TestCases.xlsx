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STUDY MATERIAL BCA\SEM-3\Software Testing\PR\"/>
    </mc:Choice>
  </mc:AlternateContent>
  <xr:revisionPtr revIDLastSave="0" documentId="13_ncr:1_{A52D11A2-50E3-4D91-AA34-93AA4CB3E4A0}" xr6:coauthVersionLast="47" xr6:coauthVersionMax="47" xr10:uidLastSave="{00000000-0000-0000-0000-000000000000}"/>
  <bookViews>
    <workbookView xWindow="-110" yWindow="-110" windowWidth="19420" windowHeight="10300" tabRatio="500" xr2:uid="{00000000-000D-0000-FFFF-FFFF00000000}"/>
  </bookViews>
  <sheets>
    <sheet name="Test Cases" sheetId="1" r:id="rId1"/>
    <sheet name="Summary" sheetId="2" r:id="rId2"/>
  </sheets>
  <definedNames>
    <definedName name="_xlnm._FilterDatabase" localSheetId="0" hidden="1">'Test Cases'!$A$11:$M$41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2" i="2" l="1"/>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B9" i="2"/>
  <c r="C9" i="2" s="1"/>
  <c r="B8" i="2"/>
  <c r="C8" i="2" s="1"/>
  <c r="B7" i="2"/>
  <c r="B6" i="2"/>
  <c r="C6" i="2" s="1"/>
  <c r="B4" i="2"/>
  <c r="C7" i="2" s="1"/>
  <c r="B10" i="2" l="1"/>
</calcChain>
</file>

<file path=xl/sharedStrings.xml><?xml version="1.0" encoding="utf-8"?>
<sst xmlns="http://schemas.openxmlformats.org/spreadsheetml/2006/main" count="455" uniqueCount="266">
  <si>
    <t>PRACTICAL 2 — LOGIN MODULE AUTOMATION-READY TEST SUITE</t>
  </si>
  <si>
    <t>Functional, Security, Session &amp; Accessibility Test Cases — practice.expandtesting.com/login</t>
  </si>
  <si>
    <t>Application Under Test:</t>
  </si>
  <si>
    <t>Expand Testing — Practice Login Page (https://practice.expandtesting.com/login)</t>
  </si>
  <si>
    <t>Module Scope:</t>
  </si>
  <si>
    <t>Login / Authentication — credential validation, session handling, security input handling, UI &amp; accessibility</t>
  </si>
  <si>
    <t>Prepared By:</t>
  </si>
  <si>
    <t>Test Design Technique:</t>
  </si>
  <si>
    <t>Black-Box — Equivalence Partitioning, Boundary Value Analysis, Security Input Testing, Exploratory Testing</t>
  </si>
  <si>
    <t>Valid Test Credentials:</t>
  </si>
  <si>
    <t>Username: practice | Password: SuperSecretPassword!</t>
  </si>
  <si>
    <t>Automation Framework:</t>
  </si>
  <si>
    <t>Playwright (Python, sync API) — Chromium headless</t>
  </si>
  <si>
    <t>Date:</t>
  </si>
  <si>
    <t>28-Jul-2026</t>
  </si>
  <si>
    <t>Test Case ID</t>
  </si>
  <si>
    <t>Requirement ID</t>
  </si>
  <si>
    <t>Module</t>
  </si>
  <si>
    <t>Priority</t>
  </si>
  <si>
    <t>Severity</t>
  </si>
  <si>
    <t>Preconditions</t>
  </si>
  <si>
    <t>Test Data</t>
  </si>
  <si>
    <t>Steps</t>
  </si>
  <si>
    <t>Expected Result</t>
  </si>
  <si>
    <t>Actual Result</t>
  </si>
  <si>
    <t>Status</t>
  </si>
  <si>
    <t>Automation Status</t>
  </si>
  <si>
    <t>Remarks</t>
  </si>
  <si>
    <t>TC_LOGIN_01</t>
  </si>
  <si>
    <t>R001</t>
  </si>
  <si>
    <t>Valid Login</t>
  </si>
  <si>
    <t>High</t>
  </si>
  <si>
    <t>Critical</t>
  </si>
  <si>
    <t>Login page loaded at https://practice.expandtesting.com/login</t>
  </si>
  <si>
    <t>1. Navigate to /login
2. Enter valid username in #username
3. Enter valid password in #password
4. Click 'Login' button
5. Verify redirection and flash message</t>
  </si>
  <si>
    <t>User is redirected to /secure; #flash-message displays 'You logged into a secure area!'; a 'Logout' control is visible</t>
  </si>
  <si>
    <t>Login succeeded; redirected to /secure with the success flash message and visible Logout link</t>
  </si>
  <si>
    <t>Pass</t>
  </si>
  <si>
    <t>Automated (Playwright)</t>
  </si>
  <si>
    <t>Primary positive scenario; mirrors TC001/R001 from the Practical 2 Test Plan &amp; RTM</t>
  </si>
  <si>
    <t>TC_LOGIN_02</t>
  </si>
  <si>
    <t>Medium</t>
  </si>
  <si>
    <t>User has previously logged in and logged out at least once in this session</t>
  </si>
  <si>
    <t>1. Complete a login/logout cycle
2. From the login page, log in again with the same valid credentials
3. Verify the flow succeeds identically</t>
  </si>
  <si>
    <t>Second login with the same valid credentials succeeds and redirects to /secure exactly as the first attempt did</t>
  </si>
  <si>
    <t>Re-login succeeded identically; no residual state from the previous session blocked the new login</t>
  </si>
  <si>
    <t>Regression/idempotency check for the primary login flow</t>
  </si>
  <si>
    <t>TC_LOGIN_03</t>
  </si>
  <si>
    <t>R002</t>
  </si>
  <si>
    <t>Invalid Username</t>
  </si>
  <si>
    <t>Login page loaded</t>
  </si>
  <si>
    <t>Username: wrongUser | Password: SuperSecretPassword!</t>
  </si>
  <si>
    <t>1. Enter a non-existent username
2. Enter the valid password
3. Click 'Login'
4. Observe flash message and URL</t>
  </si>
  <si>
    <t>Login is rejected; #flash-message displays 'Invalid username.'; user remains on /login</t>
  </si>
  <si>
    <t>Login rejected with 'Invalid username.' message; user remained on the login page</t>
  </si>
  <si>
    <t>Confirms R002/R004</t>
  </si>
  <si>
    <t>TC_LOGIN_04</t>
  </si>
  <si>
    <t>Username: Practice (wrong case) | Password: SuperSecretPassword!</t>
  </si>
  <si>
    <t>1. Enter the valid username with altered casing (e.g. 'Practice')
2. Enter the valid password
3. Click 'Login'
4. Observe result</t>
  </si>
  <si>
    <t>Username comparison is case-sensitive; login is rejected with 'Invalid username.'</t>
  </si>
  <si>
    <t>Login rejected with 'Invalid username.'; confirms username matching is case-sensitive</t>
  </si>
  <si>
    <t>Boundary/case-sensitivity check on username matching</t>
  </si>
  <si>
    <t>TC_LOGIN_05</t>
  </si>
  <si>
    <t>R003</t>
  </si>
  <si>
    <t>Invalid Password</t>
  </si>
  <si>
    <t>Username: practice | Password: WrongPassword</t>
  </si>
  <si>
    <t>1. Enter the valid username
2. Enter an incorrect password
3. Click 'Login'
4. Observe flash message and URL</t>
  </si>
  <si>
    <t>Login is rejected; #flash-message displays 'Invalid password.'; user remains on /login</t>
  </si>
  <si>
    <t>Login rejected with 'Invalid password.' message; user remained on the login page</t>
  </si>
  <si>
    <t>Confirms R003/R004</t>
  </si>
  <si>
    <t>TC_LOGIN_06</t>
  </si>
  <si>
    <t>Username: practice | Password: supersecretpassword! (wrong case)</t>
  </si>
  <si>
    <t>1. Enter the valid username
2. Enter the valid password with altered casing
3. Click 'Login'
4. Observe result</t>
  </si>
  <si>
    <t>Password comparison is case-sensitive; login is rejected with 'Invalid password.'</t>
  </si>
  <si>
    <t>Login rejected with 'Invalid password.'; confirms password matching is case-sensitive</t>
  </si>
  <si>
    <t>Boundary/case-sensitivity check on password matching</t>
  </si>
  <si>
    <t>TC_LOGIN_07</t>
  </si>
  <si>
    <t>R007</t>
  </si>
  <si>
    <t>Empty Username</t>
  </si>
  <si>
    <t>Username: (blank) | Password: SuperSecretPassword!</t>
  </si>
  <si>
    <t>1. Leave the Username field empty
2. Enter the valid password
3. Click 'Login'
4. Observe result</t>
  </si>
  <si>
    <t>Login is rejected; an appropriate error/validation message is shown and the user remains on /login</t>
  </si>
  <si>
    <t>Login rejected with 'Invalid username.' (empty value treated as a non-matching username); user remained on /login</t>
  </si>
  <si>
    <t>Confirms R007 — empty-field submissions are safely rejected, not treated as a crash/exception</t>
  </si>
  <si>
    <t>TC_LOGIN_08</t>
  </si>
  <si>
    <t>Empty Password</t>
  </si>
  <si>
    <t>Username: practice | Password: (blank)</t>
  </si>
  <si>
    <t>1. Enter the valid username
2. Leave the Password field empty
3. Click 'Login'
4. Observe result</t>
  </si>
  <si>
    <t>Login rejected with 'Invalid password.' (empty value treated as a non-matching password); user remained on /login</t>
  </si>
  <si>
    <t>Confirms R007</t>
  </si>
  <si>
    <t>TC_LOGIN_09</t>
  </si>
  <si>
    <t>Both Empty</t>
  </si>
  <si>
    <t>Username: (blank) | Password: (blank)</t>
  </si>
  <si>
    <t>1. Leave both Username and Password fields empty
2. Click 'Login'
3. Observe result</t>
  </si>
  <si>
    <t>Login is rejected with an appropriate error message; no server error/exception page is shown</t>
  </si>
  <si>
    <t>Login rejected with 'Invalid username.'; page handled the blank submission gracefully with no exception</t>
  </si>
  <si>
    <t>Edge case combining R002 and R003 conditions</t>
  </si>
  <si>
    <t>TC_LOGIN_10</t>
  </si>
  <si>
    <t>R008</t>
  </si>
  <si>
    <t>SQL Injection</t>
  </si>
  <si>
    <t>Username: ' OR '1'='1  | Password: SuperSecretPassword!</t>
  </si>
  <si>
    <t>1. Enter a classic SQL injection payload in the Username field
2. Enter the valid password
3. Click 'Login'
4. Observe whether authentication is bypassed</t>
  </si>
  <si>
    <t>Application does not authenticate the request; payload is treated as literal text and login is rejected as an invalid username, with no server error page</t>
  </si>
  <si>
    <t>Login rejected with 'Invalid username.'; injection payload had no special effect and did not bypass authentication</t>
  </si>
  <si>
    <t>No SQL injection bypass observed; confirms input is not unsafely concatenated into a query</t>
  </si>
  <si>
    <t>TC_LOGIN_11</t>
  </si>
  <si>
    <t xml:space="preserve">Username: practice | Password: ' OR '1'='1' -- </t>
  </si>
  <si>
    <t>1. Enter the valid username
2. Enter a SQL injection payload in the Password field
3. Click 'Login'
4. Observe whether authentication is bypassed</t>
  </si>
  <si>
    <t>Application does not authenticate the request; payload is treated as literal text and login is rejected as an invalid password, with no server error page</t>
  </si>
  <si>
    <t>Login rejected with 'Invalid password.'; injection payload had no special effect and did not bypass authentication</t>
  </si>
  <si>
    <t>No SQL injection bypass observed on the password field</t>
  </si>
  <si>
    <t>TC_LOGIN_12</t>
  </si>
  <si>
    <t>R009</t>
  </si>
  <si>
    <t>XSS Input</t>
  </si>
  <si>
    <t>Username: &lt;script&gt;alert('xss')&lt;/script&gt; | Password: SuperSecretPassword!</t>
  </si>
  <si>
    <t>1. Enter a script-tag XSS payload in the Username field
2. Enter the valid password
3. Click 'Login'
4. Observe whether the script executes or is reflected unescaped anywhere on the page</t>
  </si>
  <si>
    <t>No script executes (no alert dialog); if the value is echoed back (e.g. in a pre-filled field), it is HTML-escaped rather than rendered as executable markup</t>
  </si>
  <si>
    <t>No alert/script execution observed; login rejected with 'Invalid username.'; payload was not reflected unescaped in the response</t>
  </si>
  <si>
    <t>Automated (Playwright) — dialog listener assertion</t>
  </si>
  <si>
    <t>Confirms basic reflected-XSS resistance on the username field</t>
  </si>
  <si>
    <t>TC_LOGIN_13</t>
  </si>
  <si>
    <t>Username: practice | Password: &lt;img src=x onerror=alert(1)&gt;</t>
  </si>
  <si>
    <t>1. Enter the valid username
2. Enter an event-handler-based XSS payload in the Password field
3. Click 'Login'
4. Observe whether the script executes</t>
  </si>
  <si>
    <t>No script executes (no alert dialog); login is rejected as an invalid password with the payload treated as literal text</t>
  </si>
  <si>
    <t>No alert/script execution observed; login rejected with 'Invalid password.'</t>
  </si>
  <si>
    <t>Confirms basic reflected-XSS resistance on the password field</t>
  </si>
  <si>
    <t>TC_LOGIN_14</t>
  </si>
  <si>
    <t>R010</t>
  </si>
  <si>
    <t>Special Characters</t>
  </si>
  <si>
    <t>Username: prac!@#$%^&amp;*() | Password: SuperSecretPassword!</t>
  </si>
  <si>
    <t>1. Enter a username containing common special characters
2. Enter the valid password
3. Click 'Login'
4. Observe result</t>
  </si>
  <si>
    <t>Login is rejected gracefully as an invalid username; no crash, no unhandled exception page</t>
  </si>
  <si>
    <t>Login rejected with 'Invalid username.'; special characters were accepted as input without any page error</t>
  </si>
  <si>
    <t>Confirms the field accepts and safely rejects special-character input</t>
  </si>
  <si>
    <t>TC_LOGIN_15</t>
  </si>
  <si>
    <t>Username: practice | Password: P@$$wörd™#!</t>
  </si>
  <si>
    <t>1. Enter the valid username
2. Enter a password containing special characters and a non-ASCII character
3. Click 'Login'
4. Observe result</t>
  </si>
  <si>
    <t>Login is rejected gracefully as an invalid password; non-ASCII/special characters do not cause encoding errors</t>
  </si>
  <si>
    <t>Login rejected with 'Invalid password.'; no encoding errors or broken rendering observed</t>
  </si>
  <si>
    <t>Confirms Unicode/special-character handling on the password field</t>
  </si>
  <si>
    <t>TC_LOGIN_16</t>
  </si>
  <si>
    <t>R011</t>
  </si>
  <si>
    <t>Maximum Length</t>
  </si>
  <si>
    <t>Low</t>
  </si>
  <si>
    <t>Username: 500-character random alphanumeric string | Password: SuperSecretPassword!</t>
  </si>
  <si>
    <t>1. Enter a 500-character string into the Username field
2. Enter the valid password
3. Click 'Login'
4. Inspect the Username input for a maxlength/length-limiting attribute</t>
  </si>
  <si>
    <t>Field either enforces a reasonable maxlength attribute or, if unbounded, still submits and is rejected gracefully without a server/application error</t>
  </si>
  <si>
    <t>Field accepted the full 500-character string with no maxlength attribute present on the input; submission was rejected as 'Invalid username.' with no application error, but the absence of any client-side length cap is a minor input-hygiene gap</t>
  </si>
  <si>
    <t>Fail</t>
  </si>
  <si>
    <t>Low-severity observation — recommend adding a sensible maxlength attribute to the Username/Password fields to reduce oversized-payload exposure; logged as BUG-LOGIN-01</t>
  </si>
  <si>
    <t>TC_LOGIN_17</t>
  </si>
  <si>
    <t>Minimum Length</t>
  </si>
  <si>
    <t>Username: a | Password: b</t>
  </si>
  <si>
    <t>1. Enter a single character in Username
2. Enter a single character in Password
3. Click 'Login'
4. Observe result</t>
  </si>
  <si>
    <t>Login is rejected gracefully as an invalid username/password; no minimum-length client error is required but the app must not error out</t>
  </si>
  <si>
    <t>Login rejected with 'Invalid username.'; single-character input handled without any application error</t>
  </si>
  <si>
    <t>Confirms no crash on minimal-length boundary input</t>
  </si>
  <si>
    <t>TC_LOGIN_18</t>
  </si>
  <si>
    <t>R012</t>
  </si>
  <si>
    <t>Password Masking</t>
  </si>
  <si>
    <t>Password: SuperSecretPassword!</t>
  </si>
  <si>
    <t>1. Click into the Password field
2. Type the password character by character
3. Inspect the field's rendered characters and its HTML 'type' attribute</t>
  </si>
  <si>
    <t>Characters are visually masked (dots/asterisks) as they are typed, and the underlying input element has type="password"</t>
  </si>
  <si>
    <t>Characters were masked as expected; input element confirmed to carry type="password"</t>
  </si>
  <si>
    <t>Automated (Playwright) — attribute assertion</t>
  </si>
  <si>
    <t>Standard HTML masking behaviour verified via DOM attribute check</t>
  </si>
  <si>
    <t>TC_LOGIN_19</t>
  </si>
  <si>
    <t>R006</t>
  </si>
  <si>
    <t>Logout</t>
  </si>
  <si>
    <t>User is logged in and viewing /secure</t>
  </si>
  <si>
    <t>N/A</t>
  </si>
  <si>
    <t>1. From the /secure page, click 'Logout'
2. Observe the resulting URL and page state
3. Attempt to navigate back to /secure</t>
  </si>
  <si>
    <t>User is returned to the /login page with the authenticated session terminated; subsequent direct navigation to /secure is blocked</t>
  </si>
  <si>
    <t>Logout returned the user to /login and the session was terminated; a follow-up direct visit to /secure redirected back to /login</t>
  </si>
  <si>
    <t>Confirms R006</t>
  </si>
  <si>
    <t>TC_LOGIN_20</t>
  </si>
  <si>
    <t>R013</t>
  </si>
  <si>
    <t>Session Validation</t>
  </si>
  <si>
    <t>User has logged in and then logged out</t>
  </si>
  <si>
    <t>1. Log in successfully
2. Log out
3. Use the browser's Back button to return to the previously cached /secure page
4. Observe whether protected content is shown</t>
  </si>
  <si>
    <t>Cached /secure content is not usable after logout; the application either re-redirects to /login or the page shows no authenticated actions</t>
  </si>
  <si>
    <t>Browser Back momentarily showed the cached /secure view, but any subsequent action (refresh or link click) redirected to /login, confirming the server-side session was invalidated</t>
  </si>
  <si>
    <t>Manual</t>
  </si>
  <si>
    <t>Client-side cache display of a stale page is a browser characteristic, not an application defect, provided the server correctly rejects the invalidated session on the next request</t>
  </si>
  <si>
    <t>TC_LOGIN_21</t>
  </si>
  <si>
    <t>R005</t>
  </si>
  <si>
    <t>Fresh browser session, no prior login</t>
  </si>
  <si>
    <t>Direct URL: https://practice.expandtesting.com/secure</t>
  </si>
  <si>
    <t>1. Open a fresh browser session (no cookies)
2. Navigate directly to /secure without logging in
3. Observe result</t>
  </si>
  <si>
    <t>Unauthenticated direct navigation to /secure is blocked; user is redirected to /login</t>
  </si>
  <si>
    <t>Direct navigation redirected to /login; protected content was not rendered</t>
  </si>
  <si>
    <t>Confirms R005 — route-level access control</t>
  </si>
  <si>
    <t>TC_LOGIN_22</t>
  </si>
  <si>
    <t>Browser Refresh</t>
  </si>
  <si>
    <t>1. Log in successfully and land on /secure
2. Refresh the page (F5 / Ctrl+R)
3. Observe whether the session persists</t>
  </si>
  <si>
    <t>After refresh, the user remains authenticated and /secure content (including the Logout control) is still displayed</t>
  </si>
  <si>
    <t>Session persisted correctly after refresh; /secure content and Logout control remained visible</t>
  </si>
  <si>
    <t>Confirms session/cookie persistence across a page reload</t>
  </si>
  <si>
    <t>TC_LOGIN_23</t>
  </si>
  <si>
    <t>R014</t>
  </si>
  <si>
    <t>Multiple Login Attempts</t>
  </si>
  <si>
    <t>5 consecutive attempts — Username: practice | Password: WrongPassword1..5</t>
  </si>
  <si>
    <t>1. Submit 5 consecutive failed login attempts using the valid username and different incorrect passwords
2. Observe whether the application imposes a lockout, CAPTCHA, or delay after repeated failures
3. Attempt a 6th login with the correct password</t>
  </si>
  <si>
    <t>Application either enforces a rate-limit/lockout after repeated failures, or clearly documents that no such control is in scope for this practice environment</t>
  </si>
  <si>
    <t>No lockout, CAPTCHA or throttling was triggered after 5 failed attempts; each attempt returned 'Invalid password.' identically, and the 6th attempt with correct credentials succeeded immediately</t>
  </si>
  <si>
    <t>Expected for a public practice/training application rather than a production defect — logged as an observation (BUG-LOGIN-02) rather than a security bug; would be a genuine concern on a production authentication system</t>
  </si>
  <si>
    <t>TC_LOGIN_24</t>
  </si>
  <si>
    <t>3 prior failed login attempts have just been made</t>
  </si>
  <si>
    <t>1. After 3 consecutive failed attempts, submit the correct credentials
2. Observe whether the successful login is accepted without any residual restriction</t>
  </si>
  <si>
    <t>A correct login succeeds normally regardless of prior failed attempts, with no leftover error state affecting the successful submission</t>
  </si>
  <si>
    <t>Login succeeded normally; no residual error state or extra confirmation step was required</t>
  </si>
  <si>
    <t>Confirms failed attempts do not corrupt subsequent valid session state</t>
  </si>
  <si>
    <t>TC_LOGIN_25</t>
  </si>
  <si>
    <t>R004</t>
  </si>
  <si>
    <t>Error Message Validation</t>
  </si>
  <si>
    <t>1. Trigger the invalid-username scenario
2. Capture the exact text, casing and punctuation of the displayed message
3. Compare against the documented expected copy 'Invalid username.'</t>
  </si>
  <si>
    <t>Displayed message text matches exactly: 'Invalid username.' (capital I, single trailing period, no typos)</t>
  </si>
  <si>
    <t>Message text matched exactly: 'Invalid username.'</t>
  </si>
  <si>
    <t>Automated (Playwright) — exact text assertion</t>
  </si>
  <si>
    <t>Confirms message-copy consistency for automated regression assertions</t>
  </si>
  <si>
    <t>TC_LOGIN_26</t>
  </si>
  <si>
    <t>1. Trigger the invalid-password scenario
2. Capture the exact text of the displayed message and its visual styling (colour/icon)
3. Compare against the documented expected copy 'Invalid password.' and confirm it is styled distinctly from a success message</t>
  </si>
  <si>
    <t>Displayed message text matches exactly: 'Invalid password.' and is styled as an error/warning (visually distinct from the green success banner)</t>
  </si>
  <si>
    <t>Message text matched exactly: 'Invalid password.'; displayed in the same #flash-message banner styled as an error state, distinct from the success banner used on TC_LOGIN_01</t>
  </si>
  <si>
    <t>Automated (Playwright) — exact text + CSS class assertion</t>
  </si>
  <si>
    <t>Confirms both copy accuracy and visual error/success differentiation</t>
  </si>
  <si>
    <t>TC_LOGIN_27</t>
  </si>
  <si>
    <t>R015</t>
  </si>
  <si>
    <t>Keyboard Navigation</t>
  </si>
  <si>
    <t>Login page loaded, focus at the top of the page</t>
  </si>
  <si>
    <t>1. Press Tab to move focus into the Username field
2. Type the username
3. Press Tab to move to the Password field
4. Type the password
5. Press Tab to move to the Login button (or press Enter directly from the Password field)
6. Submit using only the keyboard</t>
  </si>
  <si>
    <t>Focus moves in a logical order (Username -&gt; Password -&gt; Login) and the form can be fully completed and submitted using only the keyboard, without requiring the mouse</t>
  </si>
  <si>
    <t>Tab order moved logically through Username, Password and Login; pressing Enter from the Password field submitted the form successfully without any mouse interaction</t>
  </si>
  <si>
    <t>Automated (Playwright) — keyboard API</t>
  </si>
  <si>
    <t>Confirms the login form is fully keyboard-operable</t>
  </si>
  <si>
    <t>TC_LOGIN_28</t>
  </si>
  <si>
    <t>Accessibility</t>
  </si>
  <si>
    <t>1. Inspect the Username and Password inputs for an associated, programmatically-linked &lt;label&gt; element
2. Inspect the Login button for an accessible name exposed to assistive technology
3. Verify focus is visible on each interactive element</t>
  </si>
  <si>
    <t>Both inputs have a properly associated label (via label[for] or aria-label), the Login button exposes an accessible name of 'Login', and a visible focus indicator is present on Tab</t>
  </si>
  <si>
    <t>Username and Password inputs are associated with their visible field labels, the Login button's accessible name resolves to 'Login' via its text content, and a visible focus outline was present on each element during keyboard navigation</t>
  </si>
  <si>
    <t>Manual — accessibility inspection</t>
  </si>
  <si>
    <t>Spot-check only; not a full WCAG 2.1 AA conformance audit</t>
  </si>
  <si>
    <t>TC_LOGIN_29</t>
  </si>
  <si>
    <t>R016</t>
  </si>
  <si>
    <t>UI Validation</t>
  </si>
  <si>
    <t>Login page loaded on a desktop viewport (&gt;=1366px)</t>
  </si>
  <si>
    <t>1. Load the login page on a standard desktop viewport
2. Verify the logo, page heading, Username field, Password field, Login button and Register link render correctly
3. Check for any overlapping or clipped elements</t>
  </si>
  <si>
    <t>All elements render in their expected positions with correct spacing; no overlap, clipping, or misaligned components</t>
  </si>
  <si>
    <t>All elements rendered correctly with consistent spacing and no visual defects on desktop viewport</t>
  </si>
  <si>
    <t>-</t>
  </si>
  <si>
    <t>TC_LOGIN_30</t>
  </si>
  <si>
    <t>Login page loaded on a mobile viewport (375x667)</t>
  </si>
  <si>
    <t>1. Switch to a 375x667 mobile viewport using DevTools
2. Reload the login page
3. Verify the form remains usable with no horizontal scrolling and legible field labels/buttons</t>
  </si>
  <si>
    <t>Login form reflows to a single-column, mobile-friendly layout; no horizontal scrollbar appears; all fields and the Login button remain easily tappable</t>
  </si>
  <si>
    <t>Form reflowed correctly to a single-column layout on mobile width; no horizontal scroll observed; all elements remained usable</t>
  </si>
  <si>
    <t>PRACTICAL 2 — TEST EXECUTION SUMMARY</t>
  </si>
  <si>
    <t>Application:</t>
  </si>
  <si>
    <t>practice.expandtesting.com/login</t>
  </si>
  <si>
    <t>Total Test Cases:</t>
  </si>
  <si>
    <t>Count</t>
  </si>
  <si>
    <t>% of Total</t>
  </si>
  <si>
    <t>Blocked</t>
  </si>
  <si>
    <t>Not Executed</t>
  </si>
  <si>
    <t>Pass Rate (of Executed)</t>
  </si>
  <si>
    <t>Total</t>
  </si>
  <si>
    <t>Abhishek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</si>
</sst>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6"/>
      <color rgb="FFFFFFFF"/>
      <name val="Times New Roman"/>
      <charset val="1"/>
    </font>
    <font>
      <sz val="11"/>
      <color rgb="FFFFFFFF"/>
      <name val="Times New Roman"/>
      <charset val="1"/>
    </font>
    <font>
      <b/>
      <sz val="10"/>
      <color rgb="FF1F3864"/>
      <name val="Times New Roman"/>
      <charset val="1"/>
    </font>
    <font>
      <sz val="10"/>
      <color rgb="FF000000"/>
      <name val="Times New Roman"/>
      <charset val="1"/>
    </font>
    <font>
      <b/>
      <sz val="10"/>
      <color rgb="FFFFFFFF"/>
      <name val="Times New Roman"/>
      <charset val="1"/>
    </font>
    <font>
      <sz val="9"/>
      <color rgb="FF000000"/>
      <name val="Times New Roman"/>
      <charset val="1"/>
    </font>
    <font>
      <b/>
      <sz val="9"/>
      <name val="Times New Roman"/>
      <charset val="1"/>
    </font>
    <font>
      <b/>
      <sz val="14"/>
      <color rgb="FFFFFFFF"/>
      <name val="Times New Roman"/>
      <charset val="1"/>
    </font>
    <font>
      <b/>
      <sz val="10"/>
      <name val="Times New Roman"/>
      <charset val="1"/>
    </font>
  </fonts>
  <fills count="9">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F2F2F2"/>
        <bgColor rgb="FFFFFFFF"/>
      </patternFill>
    </fill>
    <fill>
      <patternFill patternType="solid">
        <fgColor rgb="FFC6EFCE"/>
        <bgColor rgb="FFD9E2F3"/>
      </patternFill>
    </fill>
    <fill>
      <patternFill patternType="solid">
        <fgColor rgb="FFFFC7CE"/>
        <bgColor rgb="FFD9E2F3"/>
      </patternFill>
    </fill>
    <fill>
      <patternFill patternType="solid">
        <fgColor rgb="FFFFEB9C"/>
        <bgColor rgb="FFF2F2F2"/>
      </patternFill>
    </fill>
    <fill>
      <patternFill patternType="solid">
        <fgColor rgb="FFFFFFFF"/>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8" fillId="2" borderId="0" xfId="0" applyFont="1" applyFill="1" applyAlignment="1">
      <alignment horizontal="center" vertical="center"/>
    </xf>
    <xf numFmtId="0" fontId="4" fillId="3" borderId="0" xfId="0" applyFont="1" applyFill="1" applyAlignment="1">
      <alignment horizontal="left" vertical="center" wrapText="1" indent="1"/>
    </xf>
    <xf numFmtId="0" fontId="3" fillId="3" borderId="0" xfId="0" applyFont="1" applyFill="1" applyAlignment="1">
      <alignment horizontal="left" vertical="center" indent="1"/>
    </xf>
    <xf numFmtId="0" fontId="2" fillId="2" borderId="0" xfId="0" applyFont="1" applyFill="1" applyAlignment="1">
      <alignment horizontal="center" vertical="center"/>
    </xf>
    <xf numFmtId="0" fontId="1" fillId="2" borderId="0" xfId="0" applyFont="1" applyFill="1" applyAlignment="1">
      <alignment horizontal="center" vertical="center"/>
    </xf>
    <xf numFmtId="0" fontId="5"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7"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6" borderId="1" xfId="0" applyFont="1" applyFill="1" applyBorder="1" applyAlignment="1">
      <alignment horizontal="center" vertical="center" wrapText="1"/>
    </xf>
    <xf numFmtId="0" fontId="3" fillId="0" borderId="0" xfId="0" applyFont="1"/>
    <xf numFmtId="0" fontId="4" fillId="0" borderId="0" xfId="0" applyFont="1"/>
    <xf numFmtId="0" fontId="5"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164" fontId="9" fillId="0" borderId="0" xfId="0" applyNumberFormat="1" applyFont="1"/>
    <xf numFmtId="0" fontId="4" fillId="0" borderId="1" xfId="0" applyFont="1" applyBorder="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showGridLines="0" tabSelected="1" zoomScaleNormal="100" workbookViewId="0">
      <pane xSplit="3" ySplit="11" topLeftCell="D12" activePane="bottomRight" state="frozen"/>
      <selection pane="topRight" activeCell="D1" sqref="D1"/>
      <selection pane="bottomLeft" activeCell="A12" sqref="A12"/>
      <selection pane="bottomRight" activeCell="D5" sqref="D5:M5"/>
    </sheetView>
  </sheetViews>
  <sheetFormatPr defaultColWidth="8.6328125" defaultRowHeight="14.5" x14ac:dyDescent="0.35"/>
  <cols>
    <col min="1" max="1" width="13" customWidth="1"/>
    <col min="2" max="2" width="11" customWidth="1"/>
    <col min="3" max="3" width="20" customWidth="1"/>
    <col min="4" max="5" width="10" customWidth="1"/>
    <col min="6" max="6" width="26" customWidth="1"/>
    <col min="7" max="7" width="28" customWidth="1"/>
    <col min="8" max="8" width="34" customWidth="1"/>
    <col min="9" max="9" width="32" customWidth="1"/>
    <col min="10" max="10" width="34" customWidth="1"/>
    <col min="11" max="11" width="10" customWidth="1"/>
    <col min="12" max="12" width="24" customWidth="1"/>
    <col min="13" max="13" width="32" customWidth="1"/>
  </cols>
  <sheetData>
    <row r="1" spans="1:13" ht="25.5" customHeight="1" x14ac:dyDescent="0.35">
      <c r="A1" s="5" t="s">
        <v>0</v>
      </c>
      <c r="B1" s="5"/>
      <c r="C1" s="5"/>
      <c r="D1" s="5"/>
      <c r="E1" s="5"/>
      <c r="F1" s="5"/>
      <c r="G1" s="5"/>
      <c r="H1" s="5"/>
      <c r="I1" s="5"/>
      <c r="J1" s="5"/>
      <c r="K1" s="5"/>
      <c r="L1" s="5"/>
      <c r="M1" s="5"/>
    </row>
    <row r="2" spans="1:13" ht="18" customHeight="1" x14ac:dyDescent="0.35">
      <c r="A2" s="4" t="s">
        <v>1</v>
      </c>
      <c r="B2" s="4"/>
      <c r="C2" s="4"/>
      <c r="D2" s="4"/>
      <c r="E2" s="4"/>
      <c r="F2" s="4"/>
      <c r="G2" s="4"/>
      <c r="H2" s="4"/>
      <c r="I2" s="4"/>
      <c r="J2" s="4"/>
      <c r="K2" s="4"/>
      <c r="L2" s="4"/>
      <c r="M2" s="4"/>
    </row>
    <row r="3" spans="1:13" ht="15.75" customHeight="1" x14ac:dyDescent="0.35">
      <c r="A3" s="3" t="s">
        <v>2</v>
      </c>
      <c r="B3" s="3"/>
      <c r="C3" s="3"/>
      <c r="D3" s="2" t="s">
        <v>3</v>
      </c>
      <c r="E3" s="2"/>
      <c r="F3" s="2"/>
      <c r="G3" s="2"/>
      <c r="H3" s="2"/>
      <c r="I3" s="2"/>
      <c r="J3" s="2"/>
      <c r="K3" s="2"/>
      <c r="L3" s="2"/>
      <c r="M3" s="2"/>
    </row>
    <row r="4" spans="1:13" ht="15.75" customHeight="1" x14ac:dyDescent="0.35">
      <c r="A4" s="3" t="s">
        <v>4</v>
      </c>
      <c r="B4" s="3"/>
      <c r="C4" s="3"/>
      <c r="D4" s="2" t="s">
        <v>5</v>
      </c>
      <c r="E4" s="2"/>
      <c r="F4" s="2"/>
      <c r="G4" s="2"/>
      <c r="H4" s="2"/>
      <c r="I4" s="2"/>
      <c r="J4" s="2"/>
      <c r="K4" s="2"/>
      <c r="L4" s="2"/>
      <c r="M4" s="2"/>
    </row>
    <row r="5" spans="1:13" ht="15.75" customHeight="1" x14ac:dyDescent="0.35">
      <c r="A5" s="3" t="s">
        <v>6</v>
      </c>
      <c r="B5" s="3"/>
      <c r="C5" s="3"/>
      <c r="D5" s="2" t="s">
        <v>265</v>
      </c>
      <c r="E5" s="2"/>
      <c r="F5" s="2"/>
      <c r="G5" s="2"/>
      <c r="H5" s="2"/>
      <c r="I5" s="2"/>
      <c r="J5" s="2"/>
      <c r="K5" s="2"/>
      <c r="L5" s="2"/>
      <c r="M5" s="2"/>
    </row>
    <row r="6" spans="1:13" ht="15.75" customHeight="1" x14ac:dyDescent="0.35">
      <c r="A6" s="3" t="s">
        <v>7</v>
      </c>
      <c r="B6" s="3"/>
      <c r="C6" s="3"/>
      <c r="D6" s="2" t="s">
        <v>8</v>
      </c>
      <c r="E6" s="2"/>
      <c r="F6" s="2"/>
      <c r="G6" s="2"/>
      <c r="H6" s="2"/>
      <c r="I6" s="2"/>
      <c r="J6" s="2"/>
      <c r="K6" s="2"/>
      <c r="L6" s="2"/>
      <c r="M6" s="2"/>
    </row>
    <row r="7" spans="1:13" ht="15.75" customHeight="1" x14ac:dyDescent="0.35">
      <c r="A7" s="3" t="s">
        <v>9</v>
      </c>
      <c r="B7" s="3"/>
      <c r="C7" s="3"/>
      <c r="D7" s="2" t="s">
        <v>10</v>
      </c>
      <c r="E7" s="2"/>
      <c r="F7" s="2"/>
      <c r="G7" s="2"/>
      <c r="H7" s="2"/>
      <c r="I7" s="2"/>
      <c r="J7" s="2"/>
      <c r="K7" s="2"/>
      <c r="L7" s="2"/>
      <c r="M7" s="2"/>
    </row>
    <row r="8" spans="1:13" ht="15.75" customHeight="1" x14ac:dyDescent="0.35">
      <c r="A8" s="3" t="s">
        <v>11</v>
      </c>
      <c r="B8" s="3"/>
      <c r="C8" s="3"/>
      <c r="D8" s="2" t="s">
        <v>12</v>
      </c>
      <c r="E8" s="2"/>
      <c r="F8" s="2"/>
      <c r="G8" s="2"/>
      <c r="H8" s="2"/>
      <c r="I8" s="2"/>
      <c r="J8" s="2"/>
      <c r="K8" s="2"/>
      <c r="L8" s="2"/>
      <c r="M8" s="2"/>
    </row>
    <row r="9" spans="1:13" ht="15.75" customHeight="1" x14ac:dyDescent="0.35">
      <c r="A9" s="3" t="s">
        <v>13</v>
      </c>
      <c r="B9" s="3"/>
      <c r="C9" s="3"/>
      <c r="D9" s="2" t="s">
        <v>14</v>
      </c>
      <c r="E9" s="2"/>
      <c r="F9" s="2"/>
      <c r="G9" s="2"/>
      <c r="H9" s="2"/>
      <c r="I9" s="2"/>
      <c r="J9" s="2"/>
      <c r="K9" s="2"/>
      <c r="L9" s="2"/>
      <c r="M9" s="2"/>
    </row>
    <row r="11" spans="1:13" ht="24" customHeight="1" x14ac:dyDescent="0.35">
      <c r="A11" s="6" t="s">
        <v>15</v>
      </c>
      <c r="B11" s="6" t="s">
        <v>16</v>
      </c>
      <c r="C11" s="6" t="s">
        <v>17</v>
      </c>
      <c r="D11" s="6" t="s">
        <v>18</v>
      </c>
      <c r="E11" s="6" t="s">
        <v>19</v>
      </c>
      <c r="F11" s="6" t="s">
        <v>20</v>
      </c>
      <c r="G11" s="6" t="s">
        <v>21</v>
      </c>
      <c r="H11" s="6" t="s">
        <v>22</v>
      </c>
      <c r="I11" s="6" t="s">
        <v>23</v>
      </c>
      <c r="J11" s="6" t="s">
        <v>24</v>
      </c>
      <c r="K11" s="6" t="s">
        <v>25</v>
      </c>
      <c r="L11" s="6" t="s">
        <v>26</v>
      </c>
      <c r="M11" s="6" t="s">
        <v>27</v>
      </c>
    </row>
    <row r="12" spans="1:13" ht="79.5" customHeight="1" x14ac:dyDescent="0.35">
      <c r="A12" s="7" t="s">
        <v>28</v>
      </c>
      <c r="B12" s="7" t="s">
        <v>29</v>
      </c>
      <c r="C12" s="7" t="s">
        <v>30</v>
      </c>
      <c r="D12" s="7" t="s">
        <v>31</v>
      </c>
      <c r="E12" s="7" t="s">
        <v>32</v>
      </c>
      <c r="F12" s="8" t="s">
        <v>33</v>
      </c>
      <c r="G12" s="8" t="s">
        <v>10</v>
      </c>
      <c r="H12" s="8" t="s">
        <v>34</v>
      </c>
      <c r="I12" s="8" t="s">
        <v>35</v>
      </c>
      <c r="J12" s="8" t="s">
        <v>36</v>
      </c>
      <c r="K12" s="9" t="s">
        <v>37</v>
      </c>
      <c r="L12" s="7" t="s">
        <v>38</v>
      </c>
      <c r="M12" s="8" t="s">
        <v>39</v>
      </c>
    </row>
    <row r="13" spans="1:13" ht="79.5" customHeight="1" x14ac:dyDescent="0.35">
      <c r="A13" s="10" t="s">
        <v>40</v>
      </c>
      <c r="B13" s="10" t="s">
        <v>29</v>
      </c>
      <c r="C13" s="10" t="s">
        <v>30</v>
      </c>
      <c r="D13" s="10" t="s">
        <v>41</v>
      </c>
      <c r="E13" s="10" t="s">
        <v>41</v>
      </c>
      <c r="F13" s="11" t="s">
        <v>42</v>
      </c>
      <c r="G13" s="11" t="s">
        <v>10</v>
      </c>
      <c r="H13" s="11" t="s">
        <v>43</v>
      </c>
      <c r="I13" s="11" t="s">
        <v>44</v>
      </c>
      <c r="J13" s="11" t="s">
        <v>45</v>
      </c>
      <c r="K13" s="9" t="s">
        <v>37</v>
      </c>
      <c r="L13" s="10" t="s">
        <v>38</v>
      </c>
      <c r="M13" s="11" t="s">
        <v>46</v>
      </c>
    </row>
    <row r="14" spans="1:13" ht="79.5" customHeight="1" x14ac:dyDescent="0.35">
      <c r="A14" s="7" t="s">
        <v>47</v>
      </c>
      <c r="B14" s="7" t="s">
        <v>48</v>
      </c>
      <c r="C14" s="7" t="s">
        <v>49</v>
      </c>
      <c r="D14" s="7" t="s">
        <v>31</v>
      </c>
      <c r="E14" s="7" t="s">
        <v>31</v>
      </c>
      <c r="F14" s="8" t="s">
        <v>50</v>
      </c>
      <c r="G14" s="8" t="s">
        <v>51</v>
      </c>
      <c r="H14" s="8" t="s">
        <v>52</v>
      </c>
      <c r="I14" s="8" t="s">
        <v>53</v>
      </c>
      <c r="J14" s="8" t="s">
        <v>54</v>
      </c>
      <c r="K14" s="9" t="s">
        <v>37</v>
      </c>
      <c r="L14" s="7" t="s">
        <v>38</v>
      </c>
      <c r="M14" s="8" t="s">
        <v>55</v>
      </c>
    </row>
    <row r="15" spans="1:13" ht="79.5" customHeight="1" x14ac:dyDescent="0.35">
      <c r="A15" s="10" t="s">
        <v>56</v>
      </c>
      <c r="B15" s="10" t="s">
        <v>48</v>
      </c>
      <c r="C15" s="10" t="s">
        <v>49</v>
      </c>
      <c r="D15" s="10" t="s">
        <v>41</v>
      </c>
      <c r="E15" s="10" t="s">
        <v>41</v>
      </c>
      <c r="F15" s="11" t="s">
        <v>50</v>
      </c>
      <c r="G15" s="11" t="s">
        <v>57</v>
      </c>
      <c r="H15" s="11" t="s">
        <v>58</v>
      </c>
      <c r="I15" s="11" t="s">
        <v>59</v>
      </c>
      <c r="J15" s="11" t="s">
        <v>60</v>
      </c>
      <c r="K15" s="9" t="s">
        <v>37</v>
      </c>
      <c r="L15" s="10" t="s">
        <v>38</v>
      </c>
      <c r="M15" s="11" t="s">
        <v>61</v>
      </c>
    </row>
    <row r="16" spans="1:13" ht="79.5" customHeight="1" x14ac:dyDescent="0.35">
      <c r="A16" s="7" t="s">
        <v>62</v>
      </c>
      <c r="B16" s="7" t="s">
        <v>63</v>
      </c>
      <c r="C16" s="7" t="s">
        <v>64</v>
      </c>
      <c r="D16" s="7" t="s">
        <v>31</v>
      </c>
      <c r="E16" s="7" t="s">
        <v>31</v>
      </c>
      <c r="F16" s="8" t="s">
        <v>50</v>
      </c>
      <c r="G16" s="8" t="s">
        <v>65</v>
      </c>
      <c r="H16" s="8" t="s">
        <v>66</v>
      </c>
      <c r="I16" s="8" t="s">
        <v>67</v>
      </c>
      <c r="J16" s="8" t="s">
        <v>68</v>
      </c>
      <c r="K16" s="9" t="s">
        <v>37</v>
      </c>
      <c r="L16" s="7" t="s">
        <v>38</v>
      </c>
      <c r="M16" s="8" t="s">
        <v>69</v>
      </c>
    </row>
    <row r="17" spans="1:13" ht="79.5" customHeight="1" x14ac:dyDescent="0.35">
      <c r="A17" s="10" t="s">
        <v>70</v>
      </c>
      <c r="B17" s="10" t="s">
        <v>63</v>
      </c>
      <c r="C17" s="10" t="s">
        <v>64</v>
      </c>
      <c r="D17" s="10" t="s">
        <v>41</v>
      </c>
      <c r="E17" s="10" t="s">
        <v>41</v>
      </c>
      <c r="F17" s="11" t="s">
        <v>50</v>
      </c>
      <c r="G17" s="11" t="s">
        <v>71</v>
      </c>
      <c r="H17" s="11" t="s">
        <v>72</v>
      </c>
      <c r="I17" s="11" t="s">
        <v>73</v>
      </c>
      <c r="J17" s="11" t="s">
        <v>74</v>
      </c>
      <c r="K17" s="9" t="s">
        <v>37</v>
      </c>
      <c r="L17" s="10" t="s">
        <v>38</v>
      </c>
      <c r="M17" s="11" t="s">
        <v>75</v>
      </c>
    </row>
    <row r="18" spans="1:13" ht="79.5" customHeight="1" x14ac:dyDescent="0.35">
      <c r="A18" s="7" t="s">
        <v>76</v>
      </c>
      <c r="B18" s="7" t="s">
        <v>77</v>
      </c>
      <c r="C18" s="7" t="s">
        <v>78</v>
      </c>
      <c r="D18" s="7" t="s">
        <v>31</v>
      </c>
      <c r="E18" s="7" t="s">
        <v>41</v>
      </c>
      <c r="F18" s="8" t="s">
        <v>50</v>
      </c>
      <c r="G18" s="8" t="s">
        <v>79</v>
      </c>
      <c r="H18" s="8" t="s">
        <v>80</v>
      </c>
      <c r="I18" s="8" t="s">
        <v>81</v>
      </c>
      <c r="J18" s="8" t="s">
        <v>82</v>
      </c>
      <c r="K18" s="9" t="s">
        <v>37</v>
      </c>
      <c r="L18" s="7" t="s">
        <v>38</v>
      </c>
      <c r="M18" s="8" t="s">
        <v>83</v>
      </c>
    </row>
    <row r="19" spans="1:13" ht="79.5" customHeight="1" x14ac:dyDescent="0.35">
      <c r="A19" s="10" t="s">
        <v>84</v>
      </c>
      <c r="B19" s="10" t="s">
        <v>77</v>
      </c>
      <c r="C19" s="10" t="s">
        <v>85</v>
      </c>
      <c r="D19" s="10" t="s">
        <v>31</v>
      </c>
      <c r="E19" s="10" t="s">
        <v>41</v>
      </c>
      <c r="F19" s="11" t="s">
        <v>50</v>
      </c>
      <c r="G19" s="11" t="s">
        <v>86</v>
      </c>
      <c r="H19" s="11" t="s">
        <v>87</v>
      </c>
      <c r="I19" s="11" t="s">
        <v>81</v>
      </c>
      <c r="J19" s="11" t="s">
        <v>88</v>
      </c>
      <c r="K19" s="9" t="s">
        <v>37</v>
      </c>
      <c r="L19" s="10" t="s">
        <v>38</v>
      </c>
      <c r="M19" s="11" t="s">
        <v>89</v>
      </c>
    </row>
    <row r="20" spans="1:13" ht="79.5" customHeight="1" x14ac:dyDescent="0.35">
      <c r="A20" s="7" t="s">
        <v>90</v>
      </c>
      <c r="B20" s="7" t="s">
        <v>77</v>
      </c>
      <c r="C20" s="7" t="s">
        <v>91</v>
      </c>
      <c r="D20" s="7" t="s">
        <v>41</v>
      </c>
      <c r="E20" s="7" t="s">
        <v>41</v>
      </c>
      <c r="F20" s="8" t="s">
        <v>50</v>
      </c>
      <c r="G20" s="8" t="s">
        <v>92</v>
      </c>
      <c r="H20" s="8" t="s">
        <v>93</v>
      </c>
      <c r="I20" s="8" t="s">
        <v>94</v>
      </c>
      <c r="J20" s="8" t="s">
        <v>95</v>
      </c>
      <c r="K20" s="9" t="s">
        <v>37</v>
      </c>
      <c r="L20" s="7" t="s">
        <v>38</v>
      </c>
      <c r="M20" s="8" t="s">
        <v>96</v>
      </c>
    </row>
    <row r="21" spans="1:13" ht="79.5" customHeight="1" x14ac:dyDescent="0.35">
      <c r="A21" s="10" t="s">
        <v>97</v>
      </c>
      <c r="B21" s="10" t="s">
        <v>98</v>
      </c>
      <c r="C21" s="10" t="s">
        <v>99</v>
      </c>
      <c r="D21" s="10" t="s">
        <v>31</v>
      </c>
      <c r="E21" s="10" t="s">
        <v>32</v>
      </c>
      <c r="F21" s="11" t="s">
        <v>50</v>
      </c>
      <c r="G21" s="11" t="s">
        <v>100</v>
      </c>
      <c r="H21" s="11" t="s">
        <v>101</v>
      </c>
      <c r="I21" s="11" t="s">
        <v>102</v>
      </c>
      <c r="J21" s="11" t="s">
        <v>103</v>
      </c>
      <c r="K21" s="9" t="s">
        <v>37</v>
      </c>
      <c r="L21" s="10" t="s">
        <v>38</v>
      </c>
      <c r="M21" s="11" t="s">
        <v>104</v>
      </c>
    </row>
    <row r="22" spans="1:13" ht="79.5" customHeight="1" x14ac:dyDescent="0.35">
      <c r="A22" s="7" t="s">
        <v>105</v>
      </c>
      <c r="B22" s="7" t="s">
        <v>98</v>
      </c>
      <c r="C22" s="7" t="s">
        <v>99</v>
      </c>
      <c r="D22" s="7" t="s">
        <v>31</v>
      </c>
      <c r="E22" s="7" t="s">
        <v>32</v>
      </c>
      <c r="F22" s="8" t="s">
        <v>50</v>
      </c>
      <c r="G22" s="8" t="s">
        <v>106</v>
      </c>
      <c r="H22" s="8" t="s">
        <v>107</v>
      </c>
      <c r="I22" s="8" t="s">
        <v>108</v>
      </c>
      <c r="J22" s="8" t="s">
        <v>109</v>
      </c>
      <c r="K22" s="9" t="s">
        <v>37</v>
      </c>
      <c r="L22" s="7" t="s">
        <v>38</v>
      </c>
      <c r="M22" s="8" t="s">
        <v>110</v>
      </c>
    </row>
    <row r="23" spans="1:13" ht="79.5" customHeight="1" x14ac:dyDescent="0.35">
      <c r="A23" s="10" t="s">
        <v>111</v>
      </c>
      <c r="B23" s="10" t="s">
        <v>112</v>
      </c>
      <c r="C23" s="10" t="s">
        <v>113</v>
      </c>
      <c r="D23" s="10" t="s">
        <v>31</v>
      </c>
      <c r="E23" s="10" t="s">
        <v>31</v>
      </c>
      <c r="F23" s="11" t="s">
        <v>50</v>
      </c>
      <c r="G23" s="11" t="s">
        <v>114</v>
      </c>
      <c r="H23" s="11" t="s">
        <v>115</v>
      </c>
      <c r="I23" s="11" t="s">
        <v>116</v>
      </c>
      <c r="J23" s="11" t="s">
        <v>117</v>
      </c>
      <c r="K23" s="9" t="s">
        <v>37</v>
      </c>
      <c r="L23" s="10" t="s">
        <v>118</v>
      </c>
      <c r="M23" s="11" t="s">
        <v>119</v>
      </c>
    </row>
    <row r="24" spans="1:13" ht="79.5" customHeight="1" x14ac:dyDescent="0.35">
      <c r="A24" s="7" t="s">
        <v>120</v>
      </c>
      <c r="B24" s="7" t="s">
        <v>112</v>
      </c>
      <c r="C24" s="7" t="s">
        <v>113</v>
      </c>
      <c r="D24" s="7" t="s">
        <v>31</v>
      </c>
      <c r="E24" s="7" t="s">
        <v>31</v>
      </c>
      <c r="F24" s="8" t="s">
        <v>50</v>
      </c>
      <c r="G24" s="8" t="s">
        <v>121</v>
      </c>
      <c r="H24" s="8" t="s">
        <v>122</v>
      </c>
      <c r="I24" s="8" t="s">
        <v>123</v>
      </c>
      <c r="J24" s="8" t="s">
        <v>124</v>
      </c>
      <c r="K24" s="9" t="s">
        <v>37</v>
      </c>
      <c r="L24" s="7" t="s">
        <v>118</v>
      </c>
      <c r="M24" s="8" t="s">
        <v>125</v>
      </c>
    </row>
    <row r="25" spans="1:13" ht="79.5" customHeight="1" x14ac:dyDescent="0.35">
      <c r="A25" s="10" t="s">
        <v>126</v>
      </c>
      <c r="B25" s="10" t="s">
        <v>127</v>
      </c>
      <c r="C25" s="10" t="s">
        <v>128</v>
      </c>
      <c r="D25" s="10" t="s">
        <v>41</v>
      </c>
      <c r="E25" s="10" t="s">
        <v>41</v>
      </c>
      <c r="F25" s="11" t="s">
        <v>50</v>
      </c>
      <c r="G25" s="11" t="s">
        <v>129</v>
      </c>
      <c r="H25" s="11" t="s">
        <v>130</v>
      </c>
      <c r="I25" s="11" t="s">
        <v>131</v>
      </c>
      <c r="J25" s="11" t="s">
        <v>132</v>
      </c>
      <c r="K25" s="9" t="s">
        <v>37</v>
      </c>
      <c r="L25" s="10" t="s">
        <v>38</v>
      </c>
      <c r="M25" s="11" t="s">
        <v>133</v>
      </c>
    </row>
    <row r="26" spans="1:13" ht="79.5" customHeight="1" x14ac:dyDescent="0.35">
      <c r="A26" s="7" t="s">
        <v>134</v>
      </c>
      <c r="B26" s="7" t="s">
        <v>127</v>
      </c>
      <c r="C26" s="7" t="s">
        <v>128</v>
      </c>
      <c r="D26" s="7" t="s">
        <v>41</v>
      </c>
      <c r="E26" s="7" t="s">
        <v>41</v>
      </c>
      <c r="F26" s="8" t="s">
        <v>50</v>
      </c>
      <c r="G26" s="8" t="s">
        <v>135</v>
      </c>
      <c r="H26" s="8" t="s">
        <v>136</v>
      </c>
      <c r="I26" s="8" t="s">
        <v>137</v>
      </c>
      <c r="J26" s="8" t="s">
        <v>138</v>
      </c>
      <c r="K26" s="9" t="s">
        <v>37</v>
      </c>
      <c r="L26" s="7" t="s">
        <v>38</v>
      </c>
      <c r="M26" s="8" t="s">
        <v>139</v>
      </c>
    </row>
    <row r="27" spans="1:13" ht="79.5" customHeight="1" x14ac:dyDescent="0.35">
      <c r="A27" s="10" t="s">
        <v>140</v>
      </c>
      <c r="B27" s="10" t="s">
        <v>141</v>
      </c>
      <c r="C27" s="10" t="s">
        <v>142</v>
      </c>
      <c r="D27" s="10" t="s">
        <v>41</v>
      </c>
      <c r="E27" s="10" t="s">
        <v>143</v>
      </c>
      <c r="F27" s="11" t="s">
        <v>50</v>
      </c>
      <c r="G27" s="11" t="s">
        <v>144</v>
      </c>
      <c r="H27" s="11" t="s">
        <v>145</v>
      </c>
      <c r="I27" s="11" t="s">
        <v>146</v>
      </c>
      <c r="J27" s="11" t="s">
        <v>147</v>
      </c>
      <c r="K27" s="12" t="s">
        <v>148</v>
      </c>
      <c r="L27" s="10" t="s">
        <v>38</v>
      </c>
      <c r="M27" s="11" t="s">
        <v>149</v>
      </c>
    </row>
    <row r="28" spans="1:13" ht="79.5" customHeight="1" x14ac:dyDescent="0.35">
      <c r="A28" s="7" t="s">
        <v>150</v>
      </c>
      <c r="B28" s="7" t="s">
        <v>141</v>
      </c>
      <c r="C28" s="7" t="s">
        <v>151</v>
      </c>
      <c r="D28" s="7" t="s">
        <v>143</v>
      </c>
      <c r="E28" s="7" t="s">
        <v>143</v>
      </c>
      <c r="F28" s="8" t="s">
        <v>50</v>
      </c>
      <c r="G28" s="8" t="s">
        <v>152</v>
      </c>
      <c r="H28" s="8" t="s">
        <v>153</v>
      </c>
      <c r="I28" s="8" t="s">
        <v>154</v>
      </c>
      <c r="J28" s="8" t="s">
        <v>155</v>
      </c>
      <c r="K28" s="9" t="s">
        <v>37</v>
      </c>
      <c r="L28" s="7" t="s">
        <v>38</v>
      </c>
      <c r="M28" s="8" t="s">
        <v>156</v>
      </c>
    </row>
    <row r="29" spans="1:13" ht="79.5" customHeight="1" x14ac:dyDescent="0.35">
      <c r="A29" s="10" t="s">
        <v>157</v>
      </c>
      <c r="B29" s="10" t="s">
        <v>158</v>
      </c>
      <c r="C29" s="10" t="s">
        <v>159</v>
      </c>
      <c r="D29" s="10" t="s">
        <v>41</v>
      </c>
      <c r="E29" s="10" t="s">
        <v>41</v>
      </c>
      <c r="F29" s="11" t="s">
        <v>50</v>
      </c>
      <c r="G29" s="11" t="s">
        <v>160</v>
      </c>
      <c r="H29" s="11" t="s">
        <v>161</v>
      </c>
      <c r="I29" s="11" t="s">
        <v>162</v>
      </c>
      <c r="J29" s="11" t="s">
        <v>163</v>
      </c>
      <c r="K29" s="9" t="s">
        <v>37</v>
      </c>
      <c r="L29" s="10" t="s">
        <v>164</v>
      </c>
      <c r="M29" s="11" t="s">
        <v>165</v>
      </c>
    </row>
    <row r="30" spans="1:13" ht="79.5" customHeight="1" x14ac:dyDescent="0.35">
      <c r="A30" s="7" t="s">
        <v>166</v>
      </c>
      <c r="B30" s="7" t="s">
        <v>167</v>
      </c>
      <c r="C30" s="7" t="s">
        <v>168</v>
      </c>
      <c r="D30" s="7" t="s">
        <v>31</v>
      </c>
      <c r="E30" s="7" t="s">
        <v>41</v>
      </c>
      <c r="F30" s="8" t="s">
        <v>169</v>
      </c>
      <c r="G30" s="8" t="s">
        <v>170</v>
      </c>
      <c r="H30" s="8" t="s">
        <v>171</v>
      </c>
      <c r="I30" s="8" t="s">
        <v>172</v>
      </c>
      <c r="J30" s="8" t="s">
        <v>173</v>
      </c>
      <c r="K30" s="9" t="s">
        <v>37</v>
      </c>
      <c r="L30" s="7" t="s">
        <v>38</v>
      </c>
      <c r="M30" s="8" t="s">
        <v>174</v>
      </c>
    </row>
    <row r="31" spans="1:13" ht="79.5" customHeight="1" x14ac:dyDescent="0.35">
      <c r="A31" s="10" t="s">
        <v>175</v>
      </c>
      <c r="B31" s="10" t="s">
        <v>176</v>
      </c>
      <c r="C31" s="10" t="s">
        <v>177</v>
      </c>
      <c r="D31" s="10" t="s">
        <v>31</v>
      </c>
      <c r="E31" s="10" t="s">
        <v>31</v>
      </c>
      <c r="F31" s="11" t="s">
        <v>178</v>
      </c>
      <c r="G31" s="11" t="s">
        <v>170</v>
      </c>
      <c r="H31" s="11" t="s">
        <v>179</v>
      </c>
      <c r="I31" s="11" t="s">
        <v>180</v>
      </c>
      <c r="J31" s="11" t="s">
        <v>181</v>
      </c>
      <c r="K31" s="9" t="s">
        <v>37</v>
      </c>
      <c r="L31" s="10" t="s">
        <v>182</v>
      </c>
      <c r="M31" s="11" t="s">
        <v>183</v>
      </c>
    </row>
    <row r="32" spans="1:13" ht="79.5" customHeight="1" x14ac:dyDescent="0.35">
      <c r="A32" s="7" t="s">
        <v>184</v>
      </c>
      <c r="B32" s="7" t="s">
        <v>185</v>
      </c>
      <c r="C32" s="7" t="s">
        <v>177</v>
      </c>
      <c r="D32" s="7" t="s">
        <v>31</v>
      </c>
      <c r="E32" s="7" t="s">
        <v>31</v>
      </c>
      <c r="F32" s="8" t="s">
        <v>186</v>
      </c>
      <c r="G32" s="8" t="s">
        <v>187</v>
      </c>
      <c r="H32" s="8" t="s">
        <v>188</v>
      </c>
      <c r="I32" s="8" t="s">
        <v>189</v>
      </c>
      <c r="J32" s="8" t="s">
        <v>190</v>
      </c>
      <c r="K32" s="9" t="s">
        <v>37</v>
      </c>
      <c r="L32" s="7" t="s">
        <v>38</v>
      </c>
      <c r="M32" s="8" t="s">
        <v>191</v>
      </c>
    </row>
    <row r="33" spans="1:13" ht="79.5" customHeight="1" x14ac:dyDescent="0.35">
      <c r="A33" s="10" t="s">
        <v>192</v>
      </c>
      <c r="B33" s="10" t="s">
        <v>176</v>
      </c>
      <c r="C33" s="10" t="s">
        <v>193</v>
      </c>
      <c r="D33" s="10" t="s">
        <v>41</v>
      </c>
      <c r="E33" s="10" t="s">
        <v>41</v>
      </c>
      <c r="F33" s="11" t="s">
        <v>169</v>
      </c>
      <c r="G33" s="11" t="s">
        <v>170</v>
      </c>
      <c r="H33" s="11" t="s">
        <v>194</v>
      </c>
      <c r="I33" s="11" t="s">
        <v>195</v>
      </c>
      <c r="J33" s="11" t="s">
        <v>196</v>
      </c>
      <c r="K33" s="9" t="s">
        <v>37</v>
      </c>
      <c r="L33" s="10" t="s">
        <v>38</v>
      </c>
      <c r="M33" s="11" t="s">
        <v>197</v>
      </c>
    </row>
    <row r="34" spans="1:13" ht="79.5" customHeight="1" x14ac:dyDescent="0.35">
      <c r="A34" s="7" t="s">
        <v>198</v>
      </c>
      <c r="B34" s="7" t="s">
        <v>199</v>
      </c>
      <c r="C34" s="7" t="s">
        <v>200</v>
      </c>
      <c r="D34" s="7" t="s">
        <v>41</v>
      </c>
      <c r="E34" s="7" t="s">
        <v>41</v>
      </c>
      <c r="F34" s="8" t="s">
        <v>50</v>
      </c>
      <c r="G34" s="8" t="s">
        <v>201</v>
      </c>
      <c r="H34" s="8" t="s">
        <v>202</v>
      </c>
      <c r="I34" s="8" t="s">
        <v>203</v>
      </c>
      <c r="J34" s="8" t="s">
        <v>204</v>
      </c>
      <c r="K34" s="12" t="s">
        <v>148</v>
      </c>
      <c r="L34" s="7" t="s">
        <v>38</v>
      </c>
      <c r="M34" s="8" t="s">
        <v>205</v>
      </c>
    </row>
    <row r="35" spans="1:13" ht="79.5" customHeight="1" x14ac:dyDescent="0.35">
      <c r="A35" s="10" t="s">
        <v>206</v>
      </c>
      <c r="B35" s="10" t="s">
        <v>199</v>
      </c>
      <c r="C35" s="10" t="s">
        <v>200</v>
      </c>
      <c r="D35" s="10" t="s">
        <v>143</v>
      </c>
      <c r="E35" s="10" t="s">
        <v>143</v>
      </c>
      <c r="F35" s="11" t="s">
        <v>207</v>
      </c>
      <c r="G35" s="11" t="s">
        <v>10</v>
      </c>
      <c r="H35" s="11" t="s">
        <v>208</v>
      </c>
      <c r="I35" s="11" t="s">
        <v>209</v>
      </c>
      <c r="J35" s="11" t="s">
        <v>210</v>
      </c>
      <c r="K35" s="9" t="s">
        <v>37</v>
      </c>
      <c r="L35" s="10" t="s">
        <v>38</v>
      </c>
      <c r="M35" s="11" t="s">
        <v>211</v>
      </c>
    </row>
    <row r="36" spans="1:13" ht="79.5" customHeight="1" x14ac:dyDescent="0.35">
      <c r="A36" s="7" t="s">
        <v>212</v>
      </c>
      <c r="B36" s="7" t="s">
        <v>213</v>
      </c>
      <c r="C36" s="7" t="s">
        <v>214</v>
      </c>
      <c r="D36" s="7" t="s">
        <v>31</v>
      </c>
      <c r="E36" s="7" t="s">
        <v>41</v>
      </c>
      <c r="F36" s="8" t="s">
        <v>50</v>
      </c>
      <c r="G36" s="8" t="s">
        <v>51</v>
      </c>
      <c r="H36" s="8" t="s">
        <v>215</v>
      </c>
      <c r="I36" s="8" t="s">
        <v>216</v>
      </c>
      <c r="J36" s="8" t="s">
        <v>217</v>
      </c>
      <c r="K36" s="9" t="s">
        <v>37</v>
      </c>
      <c r="L36" s="7" t="s">
        <v>218</v>
      </c>
      <c r="M36" s="8" t="s">
        <v>219</v>
      </c>
    </row>
    <row r="37" spans="1:13" ht="79.5" customHeight="1" x14ac:dyDescent="0.35">
      <c r="A37" s="10" t="s">
        <v>220</v>
      </c>
      <c r="B37" s="10" t="s">
        <v>213</v>
      </c>
      <c r="C37" s="10" t="s">
        <v>214</v>
      </c>
      <c r="D37" s="10" t="s">
        <v>31</v>
      </c>
      <c r="E37" s="10" t="s">
        <v>41</v>
      </c>
      <c r="F37" s="11" t="s">
        <v>50</v>
      </c>
      <c r="G37" s="11" t="s">
        <v>65</v>
      </c>
      <c r="H37" s="11" t="s">
        <v>221</v>
      </c>
      <c r="I37" s="11" t="s">
        <v>222</v>
      </c>
      <c r="J37" s="11" t="s">
        <v>223</v>
      </c>
      <c r="K37" s="9" t="s">
        <v>37</v>
      </c>
      <c r="L37" s="10" t="s">
        <v>224</v>
      </c>
      <c r="M37" s="11" t="s">
        <v>225</v>
      </c>
    </row>
    <row r="38" spans="1:13" ht="79.5" customHeight="1" x14ac:dyDescent="0.35">
      <c r="A38" s="7" t="s">
        <v>226</v>
      </c>
      <c r="B38" s="7" t="s">
        <v>227</v>
      </c>
      <c r="C38" s="7" t="s">
        <v>228</v>
      </c>
      <c r="D38" s="7" t="s">
        <v>41</v>
      </c>
      <c r="E38" s="7" t="s">
        <v>41</v>
      </c>
      <c r="F38" s="8" t="s">
        <v>229</v>
      </c>
      <c r="G38" s="8" t="s">
        <v>10</v>
      </c>
      <c r="H38" s="8" t="s">
        <v>230</v>
      </c>
      <c r="I38" s="8" t="s">
        <v>231</v>
      </c>
      <c r="J38" s="8" t="s">
        <v>232</v>
      </c>
      <c r="K38" s="9" t="s">
        <v>37</v>
      </c>
      <c r="L38" s="7" t="s">
        <v>233</v>
      </c>
      <c r="M38" s="8" t="s">
        <v>234</v>
      </c>
    </row>
    <row r="39" spans="1:13" ht="79.5" customHeight="1" x14ac:dyDescent="0.35">
      <c r="A39" s="10" t="s">
        <v>235</v>
      </c>
      <c r="B39" s="10" t="s">
        <v>227</v>
      </c>
      <c r="C39" s="10" t="s">
        <v>236</v>
      </c>
      <c r="D39" s="10" t="s">
        <v>41</v>
      </c>
      <c r="E39" s="10" t="s">
        <v>41</v>
      </c>
      <c r="F39" s="11" t="s">
        <v>50</v>
      </c>
      <c r="G39" s="11" t="s">
        <v>170</v>
      </c>
      <c r="H39" s="11" t="s">
        <v>237</v>
      </c>
      <c r="I39" s="11" t="s">
        <v>238</v>
      </c>
      <c r="J39" s="11" t="s">
        <v>239</v>
      </c>
      <c r="K39" s="9" t="s">
        <v>37</v>
      </c>
      <c r="L39" s="10" t="s">
        <v>240</v>
      </c>
      <c r="M39" s="11" t="s">
        <v>241</v>
      </c>
    </row>
    <row r="40" spans="1:13" ht="79.5" customHeight="1" x14ac:dyDescent="0.35">
      <c r="A40" s="7" t="s">
        <v>242</v>
      </c>
      <c r="B40" s="7" t="s">
        <v>243</v>
      </c>
      <c r="C40" s="7" t="s">
        <v>244</v>
      </c>
      <c r="D40" s="7" t="s">
        <v>41</v>
      </c>
      <c r="E40" s="7" t="s">
        <v>143</v>
      </c>
      <c r="F40" s="8" t="s">
        <v>245</v>
      </c>
      <c r="G40" s="8" t="s">
        <v>170</v>
      </c>
      <c r="H40" s="8" t="s">
        <v>246</v>
      </c>
      <c r="I40" s="8" t="s">
        <v>247</v>
      </c>
      <c r="J40" s="8" t="s">
        <v>248</v>
      </c>
      <c r="K40" s="9" t="s">
        <v>37</v>
      </c>
      <c r="L40" s="7" t="s">
        <v>182</v>
      </c>
      <c r="M40" s="8" t="s">
        <v>249</v>
      </c>
    </row>
    <row r="41" spans="1:13" ht="79.5" customHeight="1" x14ac:dyDescent="0.35">
      <c r="A41" s="10" t="s">
        <v>250</v>
      </c>
      <c r="B41" s="10" t="s">
        <v>243</v>
      </c>
      <c r="C41" s="10" t="s">
        <v>244</v>
      </c>
      <c r="D41" s="10" t="s">
        <v>41</v>
      </c>
      <c r="E41" s="10" t="s">
        <v>143</v>
      </c>
      <c r="F41" s="11" t="s">
        <v>251</v>
      </c>
      <c r="G41" s="11" t="s">
        <v>170</v>
      </c>
      <c r="H41" s="11" t="s">
        <v>252</v>
      </c>
      <c r="I41" s="11" t="s">
        <v>253</v>
      </c>
      <c r="J41" s="11" t="s">
        <v>254</v>
      </c>
      <c r="K41" s="9" t="s">
        <v>37</v>
      </c>
      <c r="L41" s="10" t="s">
        <v>182</v>
      </c>
      <c r="M41" s="11" t="s">
        <v>249</v>
      </c>
    </row>
  </sheetData>
  <autoFilter ref="A11:M41" xr:uid="{00000000-0009-0000-0000-000000000000}"/>
  <mergeCells count="16">
    <mergeCell ref="A8:C8"/>
    <mergeCell ref="D8:M8"/>
    <mergeCell ref="A9:C9"/>
    <mergeCell ref="D9:M9"/>
    <mergeCell ref="A5:C5"/>
    <mergeCell ref="D5:M5"/>
    <mergeCell ref="A6:C6"/>
    <mergeCell ref="D6:M6"/>
    <mergeCell ref="A7:C7"/>
    <mergeCell ref="D7:M7"/>
    <mergeCell ref="A1:M1"/>
    <mergeCell ref="A2:M2"/>
    <mergeCell ref="A3:C3"/>
    <mergeCell ref="D3:M3"/>
    <mergeCell ref="A4:C4"/>
    <mergeCell ref="D4:M4"/>
  </mergeCells>
  <dataValidations count="2">
    <dataValidation type="list" allowBlank="1" sqref="K12:K41" xr:uid="{00000000-0002-0000-0000-000000000000}">
      <formula1>"Pass,Fail,Blocked,Not Executed"</formula1>
      <formula2>0</formula2>
    </dataValidation>
    <dataValidation type="list" allowBlank="1" sqref="D12:E41" xr:uid="{00000000-0002-0000-00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showGridLines="0" zoomScaleNormal="100" workbookViewId="0"/>
  </sheetViews>
  <sheetFormatPr defaultColWidth="8.6328125" defaultRowHeight="14.5" x14ac:dyDescent="0.35"/>
  <cols>
    <col min="1" max="1" width="26" customWidth="1"/>
    <col min="2" max="4" width="12" customWidth="1"/>
  </cols>
  <sheetData>
    <row r="1" spans="1:4" ht="24" customHeight="1" x14ac:dyDescent="0.35">
      <c r="A1" s="1" t="s">
        <v>255</v>
      </c>
      <c r="B1" s="1"/>
      <c r="C1" s="1"/>
      <c r="D1" s="1"/>
    </row>
    <row r="3" spans="1:4" x14ac:dyDescent="0.35">
      <c r="A3" s="13" t="s">
        <v>256</v>
      </c>
      <c r="B3" s="14" t="s">
        <v>257</v>
      </c>
    </row>
    <row r="4" spans="1:4" x14ac:dyDescent="0.35">
      <c r="A4" s="13" t="s">
        <v>258</v>
      </c>
      <c r="B4" s="14">
        <f>COUNTA('Test Cases'!A12:A41)</f>
        <v>30</v>
      </c>
    </row>
    <row r="5" spans="1:4" x14ac:dyDescent="0.35">
      <c r="A5" s="15" t="s">
        <v>25</v>
      </c>
      <c r="B5" s="15" t="s">
        <v>259</v>
      </c>
      <c r="C5" s="15" t="s">
        <v>260</v>
      </c>
    </row>
    <row r="6" spans="1:4" x14ac:dyDescent="0.35">
      <c r="A6" s="16" t="s">
        <v>37</v>
      </c>
      <c r="B6" s="17">
        <f>COUNTIF('Test Cases'!K12:K41,A6)</f>
        <v>28</v>
      </c>
      <c r="C6" s="18">
        <f>IFERROR(B6/$B$4,0)</f>
        <v>0.93333333333333335</v>
      </c>
    </row>
    <row r="7" spans="1:4" x14ac:dyDescent="0.35">
      <c r="A7" s="19" t="s">
        <v>148</v>
      </c>
      <c r="B7" s="17">
        <f>COUNTIF('Test Cases'!K12:K41,A7)</f>
        <v>2</v>
      </c>
      <c r="C7" s="18">
        <f>IFERROR(B7/$B$4,0)</f>
        <v>6.6666666666666666E-2</v>
      </c>
    </row>
    <row r="8" spans="1:4" x14ac:dyDescent="0.35">
      <c r="A8" s="20" t="s">
        <v>261</v>
      </c>
      <c r="B8" s="17">
        <f>COUNTIF('Test Cases'!K12:K41,A8)</f>
        <v>0</v>
      </c>
      <c r="C8" s="18">
        <f>IFERROR(B8/$B$4,0)</f>
        <v>0</v>
      </c>
    </row>
    <row r="9" spans="1:4" x14ac:dyDescent="0.35">
      <c r="A9" s="21" t="s">
        <v>262</v>
      </c>
      <c r="B9" s="17">
        <f>COUNTIF('Test Cases'!K12:K41,A9)</f>
        <v>0</v>
      </c>
      <c r="C9" s="18">
        <f>IFERROR(B9/$B$4,0)</f>
        <v>0</v>
      </c>
    </row>
    <row r="10" spans="1:4" x14ac:dyDescent="0.35">
      <c r="A10" s="13" t="s">
        <v>263</v>
      </c>
      <c r="B10" s="22">
        <f>IFERROR(B6/(B6+B7),0)</f>
        <v>0.93333333333333335</v>
      </c>
    </row>
    <row r="12" spans="1:4" x14ac:dyDescent="0.35">
      <c r="A12" s="15" t="s">
        <v>17</v>
      </c>
      <c r="B12" s="15" t="s">
        <v>264</v>
      </c>
      <c r="C12" s="15" t="s">
        <v>37</v>
      </c>
      <c r="D12" s="15" t="s">
        <v>148</v>
      </c>
    </row>
    <row r="13" spans="1:4" x14ac:dyDescent="0.35">
      <c r="A13" s="23" t="s">
        <v>30</v>
      </c>
      <c r="B13" s="17">
        <f>COUNTIF('Test Cases'!C12:C41,A13)</f>
        <v>2</v>
      </c>
      <c r="C13" s="17">
        <f>COUNTIFS('Test Cases'!C12:C41,A13,'Test Cases'!K12:K41,"Pass")</f>
        <v>2</v>
      </c>
      <c r="D13" s="17">
        <f>COUNTIFS('Test Cases'!C12:C41,A13,'Test Cases'!K12:K41,"Fail")</f>
        <v>0</v>
      </c>
    </row>
    <row r="14" spans="1:4" x14ac:dyDescent="0.35">
      <c r="A14" s="23" t="s">
        <v>49</v>
      </c>
      <c r="B14" s="17">
        <f>COUNTIF('Test Cases'!C12:C41,A14)</f>
        <v>2</v>
      </c>
      <c r="C14" s="17">
        <f>COUNTIFS('Test Cases'!C12:C41,A14,'Test Cases'!K12:K41,"Pass")</f>
        <v>2</v>
      </c>
      <c r="D14" s="17">
        <f>COUNTIFS('Test Cases'!C12:C41,A14,'Test Cases'!K12:K41,"Fail")</f>
        <v>0</v>
      </c>
    </row>
    <row r="15" spans="1:4" x14ac:dyDescent="0.35">
      <c r="A15" s="23" t="s">
        <v>64</v>
      </c>
      <c r="B15" s="17">
        <f>COUNTIF('Test Cases'!C12:C41,A15)</f>
        <v>2</v>
      </c>
      <c r="C15" s="17">
        <f>COUNTIFS('Test Cases'!C12:C41,A15,'Test Cases'!K12:K41,"Pass")</f>
        <v>2</v>
      </c>
      <c r="D15" s="17">
        <f>COUNTIFS('Test Cases'!C12:C41,A15,'Test Cases'!K12:K41,"Fail")</f>
        <v>0</v>
      </c>
    </row>
    <row r="16" spans="1:4" x14ac:dyDescent="0.35">
      <c r="A16" s="23" t="s">
        <v>78</v>
      </c>
      <c r="B16" s="17">
        <f>COUNTIF('Test Cases'!C12:C41,A16)</f>
        <v>1</v>
      </c>
      <c r="C16" s="17">
        <f>COUNTIFS('Test Cases'!C12:C41,A16,'Test Cases'!K12:K41,"Pass")</f>
        <v>1</v>
      </c>
      <c r="D16" s="17">
        <f>COUNTIFS('Test Cases'!C12:C41,A16,'Test Cases'!K12:K41,"Fail")</f>
        <v>0</v>
      </c>
    </row>
    <row r="17" spans="1:4" x14ac:dyDescent="0.35">
      <c r="A17" s="23" t="s">
        <v>85</v>
      </c>
      <c r="B17" s="17">
        <f>COUNTIF('Test Cases'!C12:C41,A17)</f>
        <v>1</v>
      </c>
      <c r="C17" s="17">
        <f>COUNTIFS('Test Cases'!C12:C41,A17,'Test Cases'!K12:K41,"Pass")</f>
        <v>1</v>
      </c>
      <c r="D17" s="17">
        <f>COUNTIFS('Test Cases'!C12:C41,A17,'Test Cases'!K12:K41,"Fail")</f>
        <v>0</v>
      </c>
    </row>
    <row r="18" spans="1:4" x14ac:dyDescent="0.35">
      <c r="A18" s="23" t="s">
        <v>91</v>
      </c>
      <c r="B18" s="17">
        <f>COUNTIF('Test Cases'!C12:C41,A18)</f>
        <v>1</v>
      </c>
      <c r="C18" s="17">
        <f>COUNTIFS('Test Cases'!C12:C41,A18,'Test Cases'!K12:K41,"Pass")</f>
        <v>1</v>
      </c>
      <c r="D18" s="17">
        <f>COUNTIFS('Test Cases'!C12:C41,A18,'Test Cases'!K12:K41,"Fail")</f>
        <v>0</v>
      </c>
    </row>
    <row r="19" spans="1:4" x14ac:dyDescent="0.35">
      <c r="A19" s="23" t="s">
        <v>99</v>
      </c>
      <c r="B19" s="17">
        <f>COUNTIF('Test Cases'!C12:C41,A19)</f>
        <v>2</v>
      </c>
      <c r="C19" s="17">
        <f>COUNTIFS('Test Cases'!C12:C41,A19,'Test Cases'!K12:K41,"Pass")</f>
        <v>2</v>
      </c>
      <c r="D19" s="17">
        <f>COUNTIFS('Test Cases'!C12:C41,A19,'Test Cases'!K12:K41,"Fail")</f>
        <v>0</v>
      </c>
    </row>
    <row r="20" spans="1:4" x14ac:dyDescent="0.35">
      <c r="A20" s="23" t="s">
        <v>113</v>
      </c>
      <c r="B20" s="17">
        <f>COUNTIF('Test Cases'!C12:C41,A20)</f>
        <v>2</v>
      </c>
      <c r="C20" s="17">
        <f>COUNTIFS('Test Cases'!C12:C41,A20,'Test Cases'!K12:K41,"Pass")</f>
        <v>2</v>
      </c>
      <c r="D20" s="17">
        <f>COUNTIFS('Test Cases'!C12:C41,A20,'Test Cases'!K12:K41,"Fail")</f>
        <v>0</v>
      </c>
    </row>
    <row r="21" spans="1:4" x14ac:dyDescent="0.35">
      <c r="A21" s="23" t="s">
        <v>128</v>
      </c>
      <c r="B21" s="17">
        <f>COUNTIF('Test Cases'!C12:C41,A21)</f>
        <v>2</v>
      </c>
      <c r="C21" s="17">
        <f>COUNTIFS('Test Cases'!C12:C41,A21,'Test Cases'!K12:K41,"Pass")</f>
        <v>2</v>
      </c>
      <c r="D21" s="17">
        <f>COUNTIFS('Test Cases'!C12:C41,A21,'Test Cases'!K12:K41,"Fail")</f>
        <v>0</v>
      </c>
    </row>
    <row r="22" spans="1:4" x14ac:dyDescent="0.35">
      <c r="A22" s="23" t="s">
        <v>142</v>
      </c>
      <c r="B22" s="17">
        <f>COUNTIF('Test Cases'!C12:C41,A22)</f>
        <v>1</v>
      </c>
      <c r="C22" s="17">
        <f>COUNTIFS('Test Cases'!C12:C41,A22,'Test Cases'!K12:K41,"Pass")</f>
        <v>0</v>
      </c>
      <c r="D22" s="17">
        <f>COUNTIFS('Test Cases'!C12:C41,A22,'Test Cases'!K12:K41,"Fail")</f>
        <v>1</v>
      </c>
    </row>
    <row r="23" spans="1:4" x14ac:dyDescent="0.35">
      <c r="A23" s="23" t="s">
        <v>151</v>
      </c>
      <c r="B23" s="17">
        <f>COUNTIF('Test Cases'!C12:C41,A23)</f>
        <v>1</v>
      </c>
      <c r="C23" s="17">
        <f>COUNTIFS('Test Cases'!C12:C41,A23,'Test Cases'!K12:K41,"Pass")</f>
        <v>1</v>
      </c>
      <c r="D23" s="17">
        <f>COUNTIFS('Test Cases'!C12:C41,A23,'Test Cases'!K12:K41,"Fail")</f>
        <v>0</v>
      </c>
    </row>
    <row r="24" spans="1:4" x14ac:dyDescent="0.35">
      <c r="A24" s="23" t="s">
        <v>159</v>
      </c>
      <c r="B24" s="17">
        <f>COUNTIF('Test Cases'!C12:C41,A24)</f>
        <v>1</v>
      </c>
      <c r="C24" s="17">
        <f>COUNTIFS('Test Cases'!C12:C41,A24,'Test Cases'!K12:K41,"Pass")</f>
        <v>1</v>
      </c>
      <c r="D24" s="17">
        <f>COUNTIFS('Test Cases'!C12:C41,A24,'Test Cases'!K12:K41,"Fail")</f>
        <v>0</v>
      </c>
    </row>
    <row r="25" spans="1:4" x14ac:dyDescent="0.35">
      <c r="A25" s="23" t="s">
        <v>168</v>
      </c>
      <c r="B25" s="17">
        <f>COUNTIF('Test Cases'!C12:C41,A25)</f>
        <v>1</v>
      </c>
      <c r="C25" s="17">
        <f>COUNTIFS('Test Cases'!C12:C41,A25,'Test Cases'!K12:K41,"Pass")</f>
        <v>1</v>
      </c>
      <c r="D25" s="17">
        <f>COUNTIFS('Test Cases'!C12:C41,A25,'Test Cases'!K12:K41,"Fail")</f>
        <v>0</v>
      </c>
    </row>
    <row r="26" spans="1:4" x14ac:dyDescent="0.35">
      <c r="A26" s="23" t="s">
        <v>177</v>
      </c>
      <c r="B26" s="17">
        <f>COUNTIF('Test Cases'!C12:C41,A26)</f>
        <v>2</v>
      </c>
      <c r="C26" s="17">
        <f>COUNTIFS('Test Cases'!C12:C41,A26,'Test Cases'!K12:K41,"Pass")</f>
        <v>2</v>
      </c>
      <c r="D26" s="17">
        <f>COUNTIFS('Test Cases'!C12:C41,A26,'Test Cases'!K12:K41,"Fail")</f>
        <v>0</v>
      </c>
    </row>
    <row r="27" spans="1:4" x14ac:dyDescent="0.35">
      <c r="A27" s="23" t="s">
        <v>193</v>
      </c>
      <c r="B27" s="17">
        <f>COUNTIF('Test Cases'!C12:C41,A27)</f>
        <v>1</v>
      </c>
      <c r="C27" s="17">
        <f>COUNTIFS('Test Cases'!C12:C41,A27,'Test Cases'!K12:K41,"Pass")</f>
        <v>1</v>
      </c>
      <c r="D27" s="17">
        <f>COUNTIFS('Test Cases'!C12:C41,A27,'Test Cases'!K12:K41,"Fail")</f>
        <v>0</v>
      </c>
    </row>
    <row r="28" spans="1:4" x14ac:dyDescent="0.35">
      <c r="A28" s="23" t="s">
        <v>200</v>
      </c>
      <c r="B28" s="17">
        <f>COUNTIF('Test Cases'!C12:C41,A28)</f>
        <v>2</v>
      </c>
      <c r="C28" s="17">
        <f>COUNTIFS('Test Cases'!C12:C41,A28,'Test Cases'!K12:K41,"Pass")</f>
        <v>1</v>
      </c>
      <c r="D28" s="17">
        <f>COUNTIFS('Test Cases'!C12:C41,A28,'Test Cases'!K12:K41,"Fail")</f>
        <v>1</v>
      </c>
    </row>
    <row r="29" spans="1:4" x14ac:dyDescent="0.35">
      <c r="A29" s="23" t="s">
        <v>214</v>
      </c>
      <c r="B29" s="17">
        <f>COUNTIF('Test Cases'!C12:C41,A29)</f>
        <v>2</v>
      </c>
      <c r="C29" s="17">
        <f>COUNTIFS('Test Cases'!C12:C41,A29,'Test Cases'!K12:K41,"Pass")</f>
        <v>2</v>
      </c>
      <c r="D29" s="17">
        <f>COUNTIFS('Test Cases'!C12:C41,A29,'Test Cases'!K12:K41,"Fail")</f>
        <v>0</v>
      </c>
    </row>
    <row r="30" spans="1:4" x14ac:dyDescent="0.35">
      <c r="A30" s="23" t="s">
        <v>228</v>
      </c>
      <c r="B30" s="17">
        <f>COUNTIF('Test Cases'!C12:C41,A30)</f>
        <v>1</v>
      </c>
      <c r="C30" s="17">
        <f>COUNTIFS('Test Cases'!C12:C41,A30,'Test Cases'!K12:K41,"Pass")</f>
        <v>1</v>
      </c>
      <c r="D30" s="17">
        <f>COUNTIFS('Test Cases'!C12:C41,A30,'Test Cases'!K12:K41,"Fail")</f>
        <v>0</v>
      </c>
    </row>
    <row r="31" spans="1:4" x14ac:dyDescent="0.35">
      <c r="A31" s="23" t="s">
        <v>236</v>
      </c>
      <c r="B31" s="17">
        <f>COUNTIF('Test Cases'!C12:C41,A31)</f>
        <v>1</v>
      </c>
      <c r="C31" s="17">
        <f>COUNTIFS('Test Cases'!C12:C41,A31,'Test Cases'!K12:K41,"Pass")</f>
        <v>1</v>
      </c>
      <c r="D31" s="17">
        <f>COUNTIFS('Test Cases'!C12:C41,A31,'Test Cases'!K12:K41,"Fail")</f>
        <v>0</v>
      </c>
    </row>
    <row r="32" spans="1:4" x14ac:dyDescent="0.35">
      <c r="A32" s="23" t="s">
        <v>244</v>
      </c>
      <c r="B32" s="17">
        <f>COUNTIF('Test Cases'!C12:C41,A32)</f>
        <v>2</v>
      </c>
      <c r="C32" s="17">
        <f>COUNTIFS('Test Cases'!C12:C41,A32,'Test Cases'!K12:K41,"Pass")</f>
        <v>2</v>
      </c>
      <c r="D32" s="17">
        <f>COUNTIFS('Test Cases'!C12:C41,A32,'Test Cases'!K12:K41,"Fail")</f>
        <v>0</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Abhishek Sisodiya</cp:lastModifiedBy>
  <cp:revision>0</cp:revision>
  <dcterms:created xsi:type="dcterms:W3CDTF">2026-07-28T18:59:35Z</dcterms:created>
  <dcterms:modified xsi:type="dcterms:W3CDTF">2026-08-04T05:12:53Z</dcterms:modified>
  <dc:language>en-US</dc:language>
</cp:coreProperties>
</file>