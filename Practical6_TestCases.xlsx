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929D6930-AFA7-4282-8250-D684E235E10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est Execution Log" sheetId="1" r:id="rId1"/>
    <sheet name="Execution Summary" sheetId="2" r:id="rId2"/>
  </sheets>
  <definedNames>
    <definedName name="_xlnm._FilterDatabase" localSheetId="0" hidden="1">'Test Execution Log'!$A$11:$O$43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2" l="1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B10" i="2"/>
  <c r="C10" i="2" s="1"/>
  <c r="B9" i="2"/>
  <c r="C9" i="2" s="1"/>
  <c r="B8" i="2"/>
  <c r="C8" i="2" s="1"/>
  <c r="B7" i="2"/>
  <c r="C7" i="2" s="1"/>
  <c r="B6" i="2"/>
  <c r="B11" i="2" s="1"/>
  <c r="B4" i="2"/>
  <c r="C6" i="2" l="1"/>
</calcChain>
</file>

<file path=xl/sharedStrings.xml><?xml version="1.0" encoding="utf-8"?>
<sst xmlns="http://schemas.openxmlformats.org/spreadsheetml/2006/main" count="542" uniqueCount="268">
  <si>
    <t>PRACTICAL 6 — MANUAL TEST EXECUTION LOG</t>
  </si>
  <si>
    <t>Execution-Oriented Regression Cycle — Login Module, practice.expandtesting.com</t>
  </si>
  <si>
    <t>Application Under Test:</t>
  </si>
  <si>
    <t>Expand Testing Practice Login Page (https://practice.expandtesting.com/login)</t>
  </si>
  <si>
    <t>Module Scope:</t>
  </si>
  <si>
    <t>Authentication / Login Module — full regression execution cycle</t>
  </si>
  <si>
    <t>Test Cycle:</t>
  </si>
  <si>
    <t>Regression Cycle R1 — Manual Test Execution</t>
  </si>
  <si>
    <t>Executed By:</t>
  </si>
  <si>
    <t>Test Environment:</t>
  </si>
  <si>
    <t>Windows 11, Google Chrome (Latest) — Manual Black Box Testing</t>
  </si>
  <si>
    <t>Valid Test Credentials:</t>
  </si>
  <si>
    <t>Username: practice | Password: SuperSecretPassword!</t>
  </si>
  <si>
    <t>Execution Window:</t>
  </si>
  <si>
    <t>28-Jul-2026 to 29-Jul-2026</t>
  </si>
  <si>
    <t>Test Case ID</t>
  </si>
  <si>
    <t>Requirement ID</t>
  </si>
  <si>
    <t>Module</t>
  </si>
  <si>
    <t>Priority</t>
  </si>
  <si>
    <t>Severity</t>
  </si>
  <si>
    <t>Preconditions</t>
  </si>
  <si>
    <t>Test Data</t>
  </si>
  <si>
    <t>Steps</t>
  </si>
  <si>
    <t>Expected Result</t>
  </si>
  <si>
    <t>Actual Result</t>
  </si>
  <si>
    <t>Execution Status</t>
  </si>
  <si>
    <t>Tester</t>
  </si>
  <si>
    <t>Execution Date</t>
  </si>
  <si>
    <t>Environment</t>
  </si>
  <si>
    <t>Remarks</t>
  </si>
  <si>
    <t>TC_EXEC_01</t>
  </si>
  <si>
    <t>REQ_LOGIN_01</t>
  </si>
  <si>
    <t>Functional</t>
  </si>
  <si>
    <t>High</t>
  </si>
  <si>
    <t>Medium</t>
  </si>
  <si>
    <t>Application URL is accessible</t>
  </si>
  <si>
    <t>practice / SuperSecretPassword!</t>
  </si>
  <si>
    <t>1. Open Login Page
2. Enter Username
3. Enter Password
4. Click Login
5. Verify successful login</t>
  </si>
  <si>
    <t>User is redirected to /secure with a success message</t>
  </si>
  <si>
    <t>User redirected to /secure with 'You logged into a secure area!' message</t>
  </si>
  <si>
    <t>Pass</t>
  </si>
  <si>
    <t>Abhishek</t>
  </si>
  <si>
    <t>28-Jul-2026</t>
  </si>
  <si>
    <t>Windows 11, Google Chrome (Latest)</t>
  </si>
  <si>
    <t>Baseline case — corresponds to TC_LOGIN_01 in the source Practical 6 artifact</t>
  </si>
  <si>
    <t>TC_EXEC_02</t>
  </si>
  <si>
    <t>REQ_LOGIN_02</t>
  </si>
  <si>
    <t>wrongUser / SuperSecretPassword!</t>
  </si>
  <si>
    <t>1. Open Login Page
2. Enter an invalid username
3. Enter the valid password
4. Click Login
5. Observe message</t>
  </si>
  <si>
    <t>'Invalid username.' displayed; user remains on /login</t>
  </si>
  <si>
    <t>'Invalid username.' displayed as expected</t>
  </si>
  <si>
    <t>-</t>
  </si>
  <si>
    <t>TC_EXEC_03</t>
  </si>
  <si>
    <t>REQ_LOGIN_03</t>
  </si>
  <si>
    <t>practice / WrongPassword</t>
  </si>
  <si>
    <t>1. Open Login Page
2. Enter the valid username
3. Enter an incorrect password
4. Click Login
5. Observe message</t>
  </si>
  <si>
    <t>'Invalid password.' displayed; user remains on /login</t>
  </si>
  <si>
    <t>'Invalid password.' displayed as expected</t>
  </si>
  <si>
    <t>TC_EXEC_04</t>
  </si>
  <si>
    <t>REQ_LOGIN_04</t>
  </si>
  <si>
    <t>Boundary</t>
  </si>
  <si>
    <t>Low</t>
  </si>
  <si>
    <t>(blank) / SuperSecretPassword!</t>
  </si>
  <si>
    <t>1. Leave Username blank
2. Enter the valid password
3. Click Login
4. Observe result</t>
  </si>
  <si>
    <t>An inline validation cue appears before submission</t>
  </si>
  <si>
    <t>No inline cue shown; server returns 'Invalid username.' after full round trip</t>
  </si>
  <si>
    <t>Fail</t>
  </si>
  <si>
    <t>Linked to BUG-001 (Practical 5); recurring, no fix deployed yet</t>
  </si>
  <si>
    <t>TC_EXEC_05</t>
  </si>
  <si>
    <t>practice / (blank)</t>
  </si>
  <si>
    <t>1. Enter the valid username
2. Leave Password blank
3. Click Login
4. Observe result</t>
  </si>
  <si>
    <t>No inline cue shown; server returns 'Invalid password.' after full round trip</t>
  </si>
  <si>
    <t>Linked to BUG-001 (Practical 5); same root cause as TC_EXEC_04</t>
  </si>
  <si>
    <t>TC_EXEC_06</t>
  </si>
  <si>
    <t>(blank) / (blank)</t>
  </si>
  <si>
    <t>1. Leave both fields blank
2. Click Login
3. Observe result</t>
  </si>
  <si>
    <t>Login rejected gracefully with no unhandled exception</t>
  </si>
  <si>
    <t>Rejected with 'Invalid username.'; no application error</t>
  </si>
  <si>
    <t>Server-side handling itself is correct; only the inline-validation gap (BUG-001) is open</t>
  </si>
  <si>
    <t>TC_EXEC_07</t>
  </si>
  <si>
    <t>REQ_LOGIN_05</t>
  </si>
  <si>
    <t>300-character string / SuperSecretPassword!</t>
  </si>
  <si>
    <t>1. Enter a 300-character string into Username
2. Enter the valid password
3. Click Login
4. Inspect Username field for a maxlength attribute</t>
  </si>
  <si>
    <t>Field enforces a reasonable maxlength or rejects gracefully</t>
  </si>
  <si>
    <t>No maxlength attribute present; rejected gracefully as 'Invalid username.'</t>
  </si>
  <si>
    <t>Linked to BUG-005 (Practical 5); recurring since Practical 2 (BUG-LOGIN-01) — third consecutive cycle observed</t>
  </si>
  <si>
    <t>TC_EXEC_08</t>
  </si>
  <si>
    <t>REQ_LOGIN_06</t>
  </si>
  <si>
    <t>Negative</t>
  </si>
  <si>
    <t>prac!@#$%^&amp;*() / SuperSecretPassword!</t>
  </si>
  <si>
    <t>1. Enter a username with special characters
2. Enter the valid password
3. Click Login
4. Observe result</t>
  </si>
  <si>
    <t>Login rejected gracefully; no crash</t>
  </si>
  <si>
    <t>Rejected with 'Invalid username.'; no crash observed</t>
  </si>
  <si>
    <t>TC_EXEC_09</t>
  </si>
  <si>
    <t>REQ_LOGIN_07</t>
  </si>
  <si>
    <t>Security</t>
  </si>
  <si>
    <t>Critical</t>
  </si>
  <si>
    <t>' OR '1'='1  / SuperSecretPassword!</t>
  </si>
  <si>
    <t>1. Enter a safe SQL-injection-style string into Username
2. Click Login
3. Observe whether authentication is bypassed</t>
  </si>
  <si>
    <t>No authentication bypass; payload treated as literal text</t>
  </si>
  <si>
    <t>Rejected with 'Invalid username.'; no bypass observed</t>
  </si>
  <si>
    <t>Syntax-only input; no exploitation attempted</t>
  </si>
  <si>
    <t>TC_EXEC_10</t>
  </si>
  <si>
    <t>REQ_LOGIN_08</t>
  </si>
  <si>
    <t>&lt;script&gt;alert('xss')&lt;/script&gt; / SuperSecretPassword!</t>
  </si>
  <si>
    <t>1. Enter a script-tag XSS-style string into Username
2. Click Login
3. Observe whether the script executes</t>
  </si>
  <si>
    <t>No script executes; payload not reflected unescaped</t>
  </si>
  <si>
    <t>No alert/script execution observed; rejected as 'Invalid username.'</t>
  </si>
  <si>
    <t>TC_EXEC_11</t>
  </si>
  <si>
    <t>REQ_LOGIN_09</t>
  </si>
  <si>
    <t>UI</t>
  </si>
  <si>
    <t>Password: SuperSecretPassword!</t>
  </si>
  <si>
    <t>1. Click into Password field
2. Type password
3. Confirm characters mask as dots</t>
  </si>
  <si>
    <t>Characters mask as typed</t>
  </si>
  <si>
    <t>Characters masked correctly</t>
  </si>
  <si>
    <t>TC_EXEC_12</t>
  </si>
  <si>
    <t>REQ_LOGIN_10</t>
  </si>
  <si>
    <t>1. Type a password
2. Look for a show/hide toggle icon</t>
  </si>
  <si>
    <t>Optional toggle icon present</t>
  </si>
  <si>
    <t>No toggle icon present</t>
  </si>
  <si>
    <t>Linked to BUG-003 (Practical 5); usability enhancement, not functional defect</t>
  </si>
  <si>
    <t>TC_EXEC_13</t>
  </si>
  <si>
    <t>REQ_LOGIN_11</t>
  </si>
  <si>
    <t>Navigation</t>
  </si>
  <si>
    <t>Focus is at the top of the login page</t>
  </si>
  <si>
    <t>1. Tab through Username, Password, Login button
2. Submit using Enter from the Password field</t>
  </si>
  <si>
    <t>Logical Tab order; form fully keyboard-operable</t>
  </si>
  <si>
    <t>Tab order logical; Enter submitted the form successfully</t>
  </si>
  <si>
    <t>TC_EXEC_14</t>
  </si>
  <si>
    <t>REQ_LOGIN_12</t>
  </si>
  <si>
    <t>Session</t>
  </si>
  <si>
    <t>User is logged in and on /secure</t>
  </si>
  <si>
    <t>N/A</t>
  </si>
  <si>
    <t>1. Refresh the page (F5)
2. Observe whether session persists</t>
  </si>
  <si>
    <t>Session persists; /secure content remains visible</t>
  </si>
  <si>
    <t>Session persisted correctly after refresh</t>
  </si>
  <si>
    <t>TC_EXEC_15</t>
  </si>
  <si>
    <t>REQ_LOGIN_13</t>
  </si>
  <si>
    <t>1. Click Logout
2. Observe resulting page and session state</t>
  </si>
  <si>
    <t>User returned to /login; session terminated</t>
  </si>
  <si>
    <t>User returned to /login; session terminated correctly</t>
  </si>
  <si>
    <t>TC_EXEC_16</t>
  </si>
  <si>
    <t>REQ_LOGIN_14</t>
  </si>
  <si>
    <t>practice / WrongPass1...5, then SuperSecretPassword!</t>
  </si>
  <si>
    <t>1. Submit 5 consecutive incorrect passwords
2. Attempt a 6th login with correct password
3. Observe lockout behaviour</t>
  </si>
  <si>
    <t>Temporary lockout, delay or CAPTCHA expected on a production system</t>
  </si>
  <si>
    <t>No lockout triggered; 6th attempt with correct credentials succeeded immediately</t>
  </si>
  <si>
    <t>Linked to BUG-002 (Practical 5); acceptable for a demo environment, flagged as hardening observation</t>
  </si>
  <si>
    <t>TC_EXEC_17</t>
  </si>
  <si>
    <t>REQ_LOGIN_15</t>
  </si>
  <si>
    <t>Access Control</t>
  </si>
  <si>
    <t>Fresh session, no prior login</t>
  </si>
  <si>
    <t>Direct URL: /secure</t>
  </si>
  <si>
    <t>1. Navigate directly to /secure without logging in
2. Observe result</t>
  </si>
  <si>
    <t>Access blocked or redirected to /login</t>
  </si>
  <si>
    <t>Redirected to /login; protected content not rendered</t>
  </si>
  <si>
    <t>TC_EXEC_18</t>
  </si>
  <si>
    <t>REQ_LOGIN_16</t>
  </si>
  <si>
    <t>Direct URL: /login</t>
  </si>
  <si>
    <t>1. While authenticated, navigate to /login directly
2. Observe whether redirected to /secure or form re-shown</t>
  </si>
  <si>
    <t>Redirect to /secure expected</t>
  </si>
  <si>
    <t>Login form re-displayed instead of redirecting</t>
  </si>
  <si>
    <t>Linked to BUG-006 (Practical 5); not a security defect</t>
  </si>
  <si>
    <t>TC_EXEC_19</t>
  </si>
  <si>
    <t>REQ_LOGIN_17</t>
  </si>
  <si>
    <t>Responsive</t>
  </si>
  <si>
    <t>Browser DevTools device emulation available</t>
  </si>
  <si>
    <t>Viewport: 375x667</t>
  </si>
  <si>
    <t>1. Load login page at 375x667 mobile viewport
2. Verify form reflows without horizontal scroll</t>
  </si>
  <si>
    <t>Form reflows to a mobile-friendly single-column layout</t>
  </si>
  <si>
    <t>Layout reflowed correctly; no horizontal scroll observed</t>
  </si>
  <si>
    <t>TC_EXEC_20</t>
  </si>
  <si>
    <t>Viewport: 300x640</t>
  </si>
  <si>
    <t>1. Set viewport width to 300px
2. Inspect field/button spacing versus desktop layout</t>
  </si>
  <si>
    <t>Consistent, comfortable spacing retained</t>
  </si>
  <si>
    <t>Spacing appears noticeably tighter than desktop view</t>
  </si>
  <si>
    <t>Linked to BUG-004 (Practical 5); cosmetic only</t>
  </si>
  <si>
    <t>TC_EXEC_21</t>
  </si>
  <si>
    <t>REQ_LOGIN_18</t>
  </si>
  <si>
    <t>Compatibility</t>
  </si>
  <si>
    <t>Google Chrome installed</t>
  </si>
  <si>
    <t>1. Exercise the full login flow in Chrome
2. Confirm layout and functional behaviour</t>
  </si>
  <si>
    <t>Page renders and functions correctly</t>
  </si>
  <si>
    <t>Layout, fonts and functional behaviour rendered correctly</t>
  </si>
  <si>
    <t>TC_EXEC_22</t>
  </si>
  <si>
    <t>macOS device with Safari installed</t>
  </si>
  <si>
    <t>1. Exercise the full login flow in Safari on macOS
2. Compare against the Chrome baseline (TC_EXEC_21)</t>
  </si>
  <si>
    <t>Consistent rendering and behaviour with the Chrome baseline</t>
  </si>
  <si>
    <t>Not executed — no macOS/Safari environment was available in this test cycle</t>
  </si>
  <si>
    <t>Blocked</t>
  </si>
  <si>
    <t>macOS, Safari (Unavailable)</t>
  </si>
  <si>
    <t>Blocked — environment not provisioned for this cycle; carried forward to Regression Cycle R2</t>
  </si>
  <si>
    <t>TC_EXEC_23</t>
  </si>
  <si>
    <t>REQ_LOGIN_19</t>
  </si>
  <si>
    <t>1. Inspect connection/protocol in DevTools
2. Confirm HTTPS with a valid TLS certificate</t>
  </si>
  <si>
    <t>Page served over HTTPS with a valid TLS certificate</t>
  </si>
  <si>
    <t>Confirmed HTTPS with a valid TLS certificate; no mixed-content warnings</t>
  </si>
  <si>
    <t>TC_EXEC_24</t>
  </si>
  <si>
    <t>Server-side password storage mechanism</t>
  </si>
  <si>
    <t>N/A — requires backend access</t>
  </si>
  <si>
    <t>1. Attempt to verify the password hashing/storage algorithm used server-side
2. Determine whether this is observable via black-box testing alone</t>
  </si>
  <si>
    <t>Password storage mechanism should be verifiable as part of a full security assessment</t>
  </si>
  <si>
    <t>Not executed — server-side implementation is not accessible to a black-box tester; requires source-code or infrastructure access outside this engagement's scope</t>
  </si>
  <si>
    <t>Blocked — outside black-box testing scope; recommend a dedicated backend security review by the development team</t>
  </si>
  <si>
    <t>TC_EXEC_25</t>
  </si>
  <si>
    <t>REQ_LOGIN_20</t>
  </si>
  <si>
    <t>'   practice   ' / SuperSecretPassword!</t>
  </si>
  <si>
    <t>1. Enter the valid username with leading/trailing whitespace
2. Enter the valid password
3. Click Login
4. Observe whether input is trimmed</t>
  </si>
  <si>
    <t>Behaviour should be consistent, whether trimmed or treated as distinct</t>
  </si>
  <si>
    <t>Rejected as 'Invalid username.'; value is not trimmed before comparison</t>
  </si>
  <si>
    <t>29-Jul-2026</t>
  </si>
  <si>
    <t>No functional defect; behaviour undocumented but safe</t>
  </si>
  <si>
    <t>TC_EXEC_26</t>
  </si>
  <si>
    <t>REQ_LOGIN_21</t>
  </si>
  <si>
    <t>Error Handling</t>
  </si>
  <si>
    <t>1. Enter valid credentials
2. Rapidly double-click Login
3. Observe for duplicate request/error</t>
  </si>
  <si>
    <t>No duplicate-submission side effect</t>
  </si>
  <si>
    <t>No duplicate message or error occurred; fast redirect absorbed the second click</t>
  </si>
  <si>
    <t>TC_EXEC_27</t>
  </si>
  <si>
    <t>REQ_LOGIN_22</t>
  </si>
  <si>
    <t>Accessibility</t>
  </si>
  <si>
    <t>1. Inspect Username/Password inputs for associated labels
2. Confirm Login button has an accessible name
3. Verify visible focus indicator on Tab</t>
  </si>
  <si>
    <t>Inputs labelled; button has accessible name; focus visible</t>
  </si>
  <si>
    <t>Inputs labelled correctly; accessible name confirmed; focus outline visible</t>
  </si>
  <si>
    <t>Spot-check only, not a full WCAG 2.1 AA audit</t>
  </si>
  <si>
    <t>TC_EXEC_28</t>
  </si>
  <si>
    <t>1. Perform a full automated WCAG 2.1 AA conformance scan (e.g. axe-core) across the login page
2. Review colour contrast, ARIA roles, and screen-reader announcement order in full</t>
  </si>
  <si>
    <t>Comprehensive accessibility conformance results, beyond the spot-check in TC_EXEC_27</t>
  </si>
  <si>
    <t>Not executed this cycle — deferred to a dedicated accessibility-audit cycle with the appropriate tooling and specialist review</t>
  </si>
  <si>
    <t>Deferred</t>
  </si>
  <si>
    <t>Deferred — scheduled for a dedicated accessibility audit cycle, out of scope for this regression pass</t>
  </si>
  <si>
    <t>TC_EXEC_29</t>
  </si>
  <si>
    <t>REQ_LOGIN_23</t>
  </si>
  <si>
    <t>Performance</t>
  </si>
  <si>
    <t>DevTools Network tab open</t>
  </si>
  <si>
    <t>1. Reload /login with Network recording
2. Record page load time and total request count</t>
  </si>
  <si>
    <t>Page loads within 3 seconds with a lightweight resource footprint</t>
  </si>
  <si>
    <t>Page loaded in approximately 1.1 seconds with a lightweight resource footprint</t>
  </si>
  <si>
    <t>TC_EXEC_30</t>
  </si>
  <si>
    <t>Load-testing tool and staging environment required</t>
  </si>
  <si>
    <t>1. Simulate concurrent multi-user login load against the application
2. Measure response time degradation under load</t>
  </si>
  <si>
    <t>Application maintains acceptable response times under a defined concurrent-user load</t>
  </si>
  <si>
    <t>Not executed — load-testing tooling and a non-production target environment are required and were not available in this cycle</t>
  </si>
  <si>
    <t>Deferred — recommend a dedicated performance/load-testing cycle against a staging environment, not the shared public demo instance</t>
  </si>
  <si>
    <t>TC_EXEC_31</t>
  </si>
  <si>
    <t>REQ_LOGIN_24</t>
  </si>
  <si>
    <t>Invalid username and invalid password scenarios</t>
  </si>
  <si>
    <t>1. Trigger both invalid-username and invalid-password scenarios
2. Assess clarity, wording and placement of each message</t>
  </si>
  <si>
    <t>Error messages are clear, field-specific, and prominently placed</t>
  </si>
  <si>
    <t>Messages are clear, field-specific, and placed directly above the form</t>
  </si>
  <si>
    <t>TC_EXEC_32</t>
  </si>
  <si>
    <t>REQ_LOGIN_25</t>
  </si>
  <si>
    <t>Process Integrity</t>
  </si>
  <si>
    <t>All test cases in this execution log have been run or dispositioned</t>
  </si>
  <si>
    <t>TC_EXEC_01–TC_EXEC_31 execution results</t>
  </si>
  <si>
    <t>1. Cross-check every Fail-status case against its linked Bug ID
2. Confirm every Blocked/Deferred case has a documented reason and follow-up plan</t>
  </si>
  <si>
    <t>Full traceability with no undocumented Blocked or Deferred case, and every Fail linked to a known defect</t>
  </si>
  <si>
    <t>All 6 Fail cases trace to BUG-001–BUG-006 (Practical 5); both Blocked cases and both Deferred cases carry a documented reason and follow-up plan</t>
  </si>
  <si>
    <t>Execution-log integrity check; confirms this cycle's Test Execution Report is fully grounded</t>
  </si>
  <si>
    <t>PRACTICAL 6 — TEST EXECUTION METRICS</t>
  </si>
  <si>
    <t>Application:</t>
  </si>
  <si>
    <t>practice.expandtesting.com/login</t>
  </si>
  <si>
    <t>Total Test Cases:</t>
  </si>
  <si>
    <t>Count</t>
  </si>
  <si>
    <t>% of Total</t>
  </si>
  <si>
    <t>Not Executed</t>
  </si>
  <si>
    <t>Pass Rate (of Executed, excl. Blocked/Deferred)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</si>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</sst>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Times New Roman"/>
      <charset val="1"/>
    </font>
    <font>
      <sz val="11"/>
      <color rgb="FFFFFFFF"/>
      <name val="Times New Roman"/>
      <charset val="1"/>
    </font>
    <font>
      <b/>
      <sz val="10"/>
      <color rgb="FF1F3864"/>
      <name val="Times New Roman"/>
      <charset val="1"/>
    </font>
    <font>
      <sz val="10"/>
      <color rgb="FF000000"/>
      <name val="Times New Roman"/>
      <charset val="1"/>
    </font>
    <font>
      <b/>
      <sz val="10"/>
      <color rgb="FFFFFFFF"/>
      <name val="Times New Roman"/>
      <charset val="1"/>
    </font>
    <font>
      <sz val="9"/>
      <color rgb="FF000000"/>
      <name val="Times New Roman"/>
      <charset val="1"/>
    </font>
    <font>
      <b/>
      <sz val="9"/>
      <name val="Times New Roman"/>
      <charset val="1"/>
    </font>
    <font>
      <b/>
      <sz val="14"/>
      <color rgb="FFFFFFFF"/>
      <name val="Times New Roman"/>
      <charset val="1"/>
    </font>
    <font>
      <b/>
      <sz val="10"/>
      <name val="Times New Roman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FFEB9C"/>
        <bgColor rgb="FFF2F2F2"/>
      </patternFill>
    </fill>
    <fill>
      <patternFill patternType="solid">
        <fgColor rgb="FFBDD7EE"/>
        <bgColor rgb="FFD9E2F3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9" fillId="0" borderId="0" xfId="0" applyNumberFormat="1" applyFont="1"/>
    <xf numFmtId="0" fontId="4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showGridLines="0"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6" sqref="D6:O6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15" customWidth="1"/>
    <col min="4" max="5" width="9" customWidth="1"/>
    <col min="6" max="7" width="22" customWidth="1"/>
    <col min="8" max="8" width="30" customWidth="1"/>
    <col min="9" max="9" width="28" customWidth="1"/>
    <col min="10" max="10" width="30" customWidth="1"/>
    <col min="11" max="11" width="11" customWidth="1"/>
    <col min="12" max="12" width="10" customWidth="1"/>
    <col min="13" max="13" width="12" customWidth="1"/>
    <col min="14" max="14" width="20" customWidth="1"/>
    <col min="15" max="15" width="32" customWidth="1"/>
  </cols>
  <sheetData>
    <row r="1" spans="1:15" ht="25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8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.75" customHeight="1" x14ac:dyDescent="0.35">
      <c r="A3" s="3" t="s">
        <v>2</v>
      </c>
      <c r="B3" s="3"/>
      <c r="C3" s="3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75" customHeight="1" x14ac:dyDescent="0.35">
      <c r="A4" s="3" t="s">
        <v>4</v>
      </c>
      <c r="B4" s="3"/>
      <c r="C4" s="3"/>
      <c r="D4" s="2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.75" customHeight="1" x14ac:dyDescent="0.35">
      <c r="A5" s="3" t="s">
        <v>6</v>
      </c>
      <c r="B5" s="3"/>
      <c r="C5" s="3"/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.75" customHeight="1" x14ac:dyDescent="0.35">
      <c r="A6" s="3" t="s">
        <v>8</v>
      </c>
      <c r="B6" s="3"/>
      <c r="C6" s="3"/>
      <c r="D6" s="2" t="s">
        <v>41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5.75" customHeight="1" x14ac:dyDescent="0.35">
      <c r="A7" s="3" t="s">
        <v>9</v>
      </c>
      <c r="B7" s="3"/>
      <c r="C7" s="3"/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5.75" customHeight="1" x14ac:dyDescent="0.35">
      <c r="A8" s="3" t="s">
        <v>11</v>
      </c>
      <c r="B8" s="3"/>
      <c r="C8" s="3"/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.75" customHeight="1" x14ac:dyDescent="0.35">
      <c r="A9" s="3" t="s">
        <v>13</v>
      </c>
      <c r="B9" s="3"/>
      <c r="C9" s="3"/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1" spans="1:15" ht="24" customHeight="1" x14ac:dyDescent="0.35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  <c r="N11" s="6" t="s">
        <v>28</v>
      </c>
      <c r="O11" s="6" t="s">
        <v>29</v>
      </c>
    </row>
    <row r="12" spans="1:15" ht="78" customHeight="1" x14ac:dyDescent="0.35">
      <c r="A12" s="7" t="s">
        <v>30</v>
      </c>
      <c r="B12" s="7" t="s">
        <v>31</v>
      </c>
      <c r="C12" s="7" t="s">
        <v>32</v>
      </c>
      <c r="D12" s="7" t="s">
        <v>33</v>
      </c>
      <c r="E12" s="7" t="s">
        <v>34</v>
      </c>
      <c r="F12" s="8" t="s">
        <v>35</v>
      </c>
      <c r="G12" s="8" t="s">
        <v>36</v>
      </c>
      <c r="H12" s="8" t="s">
        <v>37</v>
      </c>
      <c r="I12" s="8" t="s">
        <v>38</v>
      </c>
      <c r="J12" s="8" t="s">
        <v>39</v>
      </c>
      <c r="K12" s="9" t="s">
        <v>40</v>
      </c>
      <c r="L12" s="7" t="s">
        <v>41</v>
      </c>
      <c r="M12" s="7" t="s">
        <v>42</v>
      </c>
      <c r="N12" s="7" t="s">
        <v>43</v>
      </c>
      <c r="O12" s="8" t="s">
        <v>44</v>
      </c>
    </row>
    <row r="13" spans="1:15" ht="78" customHeight="1" x14ac:dyDescent="0.35">
      <c r="A13" s="10" t="s">
        <v>45</v>
      </c>
      <c r="B13" s="10" t="s">
        <v>46</v>
      </c>
      <c r="C13" s="10" t="s">
        <v>32</v>
      </c>
      <c r="D13" s="10" t="s">
        <v>33</v>
      </c>
      <c r="E13" s="10" t="s">
        <v>33</v>
      </c>
      <c r="F13" s="11" t="s">
        <v>35</v>
      </c>
      <c r="G13" s="11" t="s">
        <v>47</v>
      </c>
      <c r="H13" s="11" t="s">
        <v>48</v>
      </c>
      <c r="I13" s="11" t="s">
        <v>49</v>
      </c>
      <c r="J13" s="11" t="s">
        <v>50</v>
      </c>
      <c r="K13" s="9" t="s">
        <v>40</v>
      </c>
      <c r="L13" s="10" t="s">
        <v>41</v>
      </c>
      <c r="M13" s="10" t="s">
        <v>42</v>
      </c>
      <c r="N13" s="10" t="s">
        <v>43</v>
      </c>
      <c r="O13" s="11" t="s">
        <v>51</v>
      </c>
    </row>
    <row r="14" spans="1:15" ht="78" customHeight="1" x14ac:dyDescent="0.35">
      <c r="A14" s="7" t="s">
        <v>52</v>
      </c>
      <c r="B14" s="7" t="s">
        <v>53</v>
      </c>
      <c r="C14" s="7" t="s">
        <v>32</v>
      </c>
      <c r="D14" s="7" t="s">
        <v>33</v>
      </c>
      <c r="E14" s="7" t="s">
        <v>33</v>
      </c>
      <c r="F14" s="8" t="s">
        <v>35</v>
      </c>
      <c r="G14" s="8" t="s">
        <v>54</v>
      </c>
      <c r="H14" s="8" t="s">
        <v>55</v>
      </c>
      <c r="I14" s="8" t="s">
        <v>56</v>
      </c>
      <c r="J14" s="8" t="s">
        <v>57</v>
      </c>
      <c r="K14" s="9" t="s">
        <v>40</v>
      </c>
      <c r="L14" s="7" t="s">
        <v>41</v>
      </c>
      <c r="M14" s="7" t="s">
        <v>42</v>
      </c>
      <c r="N14" s="7" t="s">
        <v>43</v>
      </c>
      <c r="O14" s="8" t="s">
        <v>51</v>
      </c>
    </row>
    <row r="15" spans="1:15" ht="78" customHeight="1" x14ac:dyDescent="0.35">
      <c r="A15" s="10" t="s">
        <v>58</v>
      </c>
      <c r="B15" s="10" t="s">
        <v>59</v>
      </c>
      <c r="C15" s="10" t="s">
        <v>60</v>
      </c>
      <c r="D15" s="10" t="s">
        <v>34</v>
      </c>
      <c r="E15" s="10" t="s">
        <v>61</v>
      </c>
      <c r="F15" s="11" t="s">
        <v>35</v>
      </c>
      <c r="G15" s="11" t="s">
        <v>62</v>
      </c>
      <c r="H15" s="11" t="s">
        <v>63</v>
      </c>
      <c r="I15" s="11" t="s">
        <v>64</v>
      </c>
      <c r="J15" s="11" t="s">
        <v>65</v>
      </c>
      <c r="K15" s="12" t="s">
        <v>66</v>
      </c>
      <c r="L15" s="10" t="s">
        <v>41</v>
      </c>
      <c r="M15" s="10" t="s">
        <v>42</v>
      </c>
      <c r="N15" s="10" t="s">
        <v>43</v>
      </c>
      <c r="O15" s="11" t="s">
        <v>67</v>
      </c>
    </row>
    <row r="16" spans="1:15" ht="78" customHeight="1" x14ac:dyDescent="0.35">
      <c r="A16" s="7" t="s">
        <v>68</v>
      </c>
      <c r="B16" s="7" t="s">
        <v>59</v>
      </c>
      <c r="C16" s="7" t="s">
        <v>60</v>
      </c>
      <c r="D16" s="7" t="s">
        <v>34</v>
      </c>
      <c r="E16" s="7" t="s">
        <v>61</v>
      </c>
      <c r="F16" s="8" t="s">
        <v>35</v>
      </c>
      <c r="G16" s="8" t="s">
        <v>69</v>
      </c>
      <c r="H16" s="8" t="s">
        <v>70</v>
      </c>
      <c r="I16" s="8" t="s">
        <v>64</v>
      </c>
      <c r="J16" s="8" t="s">
        <v>71</v>
      </c>
      <c r="K16" s="12" t="s">
        <v>66</v>
      </c>
      <c r="L16" s="7" t="s">
        <v>41</v>
      </c>
      <c r="M16" s="7" t="s">
        <v>42</v>
      </c>
      <c r="N16" s="7" t="s">
        <v>43</v>
      </c>
      <c r="O16" s="8" t="s">
        <v>72</v>
      </c>
    </row>
    <row r="17" spans="1:15" ht="78" customHeight="1" x14ac:dyDescent="0.35">
      <c r="A17" s="10" t="s">
        <v>73</v>
      </c>
      <c r="B17" s="10" t="s">
        <v>59</v>
      </c>
      <c r="C17" s="10" t="s">
        <v>60</v>
      </c>
      <c r="D17" s="10" t="s">
        <v>61</v>
      </c>
      <c r="E17" s="10" t="s">
        <v>61</v>
      </c>
      <c r="F17" s="11" t="s">
        <v>35</v>
      </c>
      <c r="G17" s="11" t="s">
        <v>74</v>
      </c>
      <c r="H17" s="11" t="s">
        <v>75</v>
      </c>
      <c r="I17" s="11" t="s">
        <v>76</v>
      </c>
      <c r="J17" s="11" t="s">
        <v>77</v>
      </c>
      <c r="K17" s="9" t="s">
        <v>40</v>
      </c>
      <c r="L17" s="10" t="s">
        <v>41</v>
      </c>
      <c r="M17" s="10" t="s">
        <v>42</v>
      </c>
      <c r="N17" s="10" t="s">
        <v>43</v>
      </c>
      <c r="O17" s="11" t="s">
        <v>78</v>
      </c>
    </row>
    <row r="18" spans="1:15" ht="78" customHeight="1" x14ac:dyDescent="0.35">
      <c r="A18" s="7" t="s">
        <v>79</v>
      </c>
      <c r="B18" s="7" t="s">
        <v>80</v>
      </c>
      <c r="C18" s="7" t="s">
        <v>60</v>
      </c>
      <c r="D18" s="7" t="s">
        <v>34</v>
      </c>
      <c r="E18" s="7" t="s">
        <v>61</v>
      </c>
      <c r="F18" s="8" t="s">
        <v>35</v>
      </c>
      <c r="G18" s="8" t="s">
        <v>81</v>
      </c>
      <c r="H18" s="8" t="s">
        <v>82</v>
      </c>
      <c r="I18" s="8" t="s">
        <v>83</v>
      </c>
      <c r="J18" s="8" t="s">
        <v>84</v>
      </c>
      <c r="K18" s="12" t="s">
        <v>66</v>
      </c>
      <c r="L18" s="7" t="s">
        <v>41</v>
      </c>
      <c r="M18" s="7" t="s">
        <v>42</v>
      </c>
      <c r="N18" s="7" t="s">
        <v>43</v>
      </c>
      <c r="O18" s="8" t="s">
        <v>85</v>
      </c>
    </row>
    <row r="19" spans="1:15" ht="78" customHeight="1" x14ac:dyDescent="0.35">
      <c r="A19" s="10" t="s">
        <v>86</v>
      </c>
      <c r="B19" s="10" t="s">
        <v>87</v>
      </c>
      <c r="C19" s="10" t="s">
        <v>88</v>
      </c>
      <c r="D19" s="10" t="s">
        <v>34</v>
      </c>
      <c r="E19" s="10" t="s">
        <v>34</v>
      </c>
      <c r="F19" s="11" t="s">
        <v>35</v>
      </c>
      <c r="G19" s="11" t="s">
        <v>89</v>
      </c>
      <c r="H19" s="11" t="s">
        <v>90</v>
      </c>
      <c r="I19" s="11" t="s">
        <v>91</v>
      </c>
      <c r="J19" s="11" t="s">
        <v>92</v>
      </c>
      <c r="K19" s="9" t="s">
        <v>40</v>
      </c>
      <c r="L19" s="10" t="s">
        <v>41</v>
      </c>
      <c r="M19" s="10" t="s">
        <v>42</v>
      </c>
      <c r="N19" s="10" t="s">
        <v>43</v>
      </c>
      <c r="O19" s="11" t="s">
        <v>51</v>
      </c>
    </row>
    <row r="20" spans="1:15" ht="78" customHeight="1" x14ac:dyDescent="0.35">
      <c r="A20" s="7" t="s">
        <v>93</v>
      </c>
      <c r="B20" s="7" t="s">
        <v>94</v>
      </c>
      <c r="C20" s="7" t="s">
        <v>95</v>
      </c>
      <c r="D20" s="7" t="s">
        <v>33</v>
      </c>
      <c r="E20" s="7" t="s">
        <v>96</v>
      </c>
      <c r="F20" s="8" t="s">
        <v>35</v>
      </c>
      <c r="G20" s="8" t="s">
        <v>97</v>
      </c>
      <c r="H20" s="8" t="s">
        <v>98</v>
      </c>
      <c r="I20" s="8" t="s">
        <v>99</v>
      </c>
      <c r="J20" s="8" t="s">
        <v>100</v>
      </c>
      <c r="K20" s="9" t="s">
        <v>40</v>
      </c>
      <c r="L20" s="7" t="s">
        <v>41</v>
      </c>
      <c r="M20" s="7" t="s">
        <v>42</v>
      </c>
      <c r="N20" s="7" t="s">
        <v>43</v>
      </c>
      <c r="O20" s="8" t="s">
        <v>101</v>
      </c>
    </row>
    <row r="21" spans="1:15" ht="78" customHeight="1" x14ac:dyDescent="0.35">
      <c r="A21" s="10" t="s">
        <v>102</v>
      </c>
      <c r="B21" s="10" t="s">
        <v>103</v>
      </c>
      <c r="C21" s="10" t="s">
        <v>95</v>
      </c>
      <c r="D21" s="10" t="s">
        <v>33</v>
      </c>
      <c r="E21" s="10" t="s">
        <v>33</v>
      </c>
      <c r="F21" s="11" t="s">
        <v>35</v>
      </c>
      <c r="G21" s="11" t="s">
        <v>104</v>
      </c>
      <c r="H21" s="11" t="s">
        <v>105</v>
      </c>
      <c r="I21" s="11" t="s">
        <v>106</v>
      </c>
      <c r="J21" s="11" t="s">
        <v>107</v>
      </c>
      <c r="K21" s="9" t="s">
        <v>40</v>
      </c>
      <c r="L21" s="10" t="s">
        <v>41</v>
      </c>
      <c r="M21" s="10" t="s">
        <v>42</v>
      </c>
      <c r="N21" s="10" t="s">
        <v>43</v>
      </c>
      <c r="O21" s="11" t="s">
        <v>51</v>
      </c>
    </row>
    <row r="22" spans="1:15" ht="78" customHeight="1" x14ac:dyDescent="0.35">
      <c r="A22" s="7" t="s">
        <v>108</v>
      </c>
      <c r="B22" s="7" t="s">
        <v>109</v>
      </c>
      <c r="C22" s="7" t="s">
        <v>110</v>
      </c>
      <c r="D22" s="7" t="s">
        <v>34</v>
      </c>
      <c r="E22" s="7" t="s">
        <v>61</v>
      </c>
      <c r="F22" s="8" t="s">
        <v>35</v>
      </c>
      <c r="G22" s="8" t="s">
        <v>111</v>
      </c>
      <c r="H22" s="8" t="s">
        <v>112</v>
      </c>
      <c r="I22" s="8" t="s">
        <v>113</v>
      </c>
      <c r="J22" s="8" t="s">
        <v>114</v>
      </c>
      <c r="K22" s="9" t="s">
        <v>40</v>
      </c>
      <c r="L22" s="7" t="s">
        <v>41</v>
      </c>
      <c r="M22" s="7" t="s">
        <v>42</v>
      </c>
      <c r="N22" s="7" t="s">
        <v>43</v>
      </c>
      <c r="O22" s="8" t="s">
        <v>51</v>
      </c>
    </row>
    <row r="23" spans="1:15" ht="78" customHeight="1" x14ac:dyDescent="0.35">
      <c r="A23" s="10" t="s">
        <v>115</v>
      </c>
      <c r="B23" s="10" t="s">
        <v>116</v>
      </c>
      <c r="C23" s="10" t="s">
        <v>110</v>
      </c>
      <c r="D23" s="10" t="s">
        <v>61</v>
      </c>
      <c r="E23" s="10" t="s">
        <v>61</v>
      </c>
      <c r="F23" s="11" t="s">
        <v>35</v>
      </c>
      <c r="G23" s="11" t="s">
        <v>111</v>
      </c>
      <c r="H23" s="11" t="s">
        <v>117</v>
      </c>
      <c r="I23" s="11" t="s">
        <v>118</v>
      </c>
      <c r="J23" s="11" t="s">
        <v>119</v>
      </c>
      <c r="K23" s="12" t="s">
        <v>66</v>
      </c>
      <c r="L23" s="10" t="s">
        <v>41</v>
      </c>
      <c r="M23" s="10" t="s">
        <v>42</v>
      </c>
      <c r="N23" s="10" t="s">
        <v>43</v>
      </c>
      <c r="O23" s="11" t="s">
        <v>120</v>
      </c>
    </row>
    <row r="24" spans="1:15" ht="78" customHeight="1" x14ac:dyDescent="0.35">
      <c r="A24" s="7" t="s">
        <v>121</v>
      </c>
      <c r="B24" s="7" t="s">
        <v>122</v>
      </c>
      <c r="C24" s="7" t="s">
        <v>123</v>
      </c>
      <c r="D24" s="7" t="s">
        <v>34</v>
      </c>
      <c r="E24" s="7" t="s">
        <v>34</v>
      </c>
      <c r="F24" s="8" t="s">
        <v>124</v>
      </c>
      <c r="G24" s="8" t="s">
        <v>36</v>
      </c>
      <c r="H24" s="8" t="s">
        <v>125</v>
      </c>
      <c r="I24" s="8" t="s">
        <v>126</v>
      </c>
      <c r="J24" s="8" t="s">
        <v>127</v>
      </c>
      <c r="K24" s="9" t="s">
        <v>40</v>
      </c>
      <c r="L24" s="7" t="s">
        <v>41</v>
      </c>
      <c r="M24" s="7" t="s">
        <v>42</v>
      </c>
      <c r="N24" s="7" t="s">
        <v>43</v>
      </c>
      <c r="O24" s="8" t="s">
        <v>51</v>
      </c>
    </row>
    <row r="25" spans="1:15" ht="78" customHeight="1" x14ac:dyDescent="0.35">
      <c r="A25" s="10" t="s">
        <v>128</v>
      </c>
      <c r="B25" s="10" t="s">
        <v>129</v>
      </c>
      <c r="C25" s="10" t="s">
        <v>130</v>
      </c>
      <c r="D25" s="10" t="s">
        <v>33</v>
      </c>
      <c r="E25" s="10" t="s">
        <v>34</v>
      </c>
      <c r="F25" s="11" t="s">
        <v>131</v>
      </c>
      <c r="G25" s="11" t="s">
        <v>132</v>
      </c>
      <c r="H25" s="11" t="s">
        <v>133</v>
      </c>
      <c r="I25" s="11" t="s">
        <v>134</v>
      </c>
      <c r="J25" s="11" t="s">
        <v>135</v>
      </c>
      <c r="K25" s="9" t="s">
        <v>40</v>
      </c>
      <c r="L25" s="10" t="s">
        <v>41</v>
      </c>
      <c r="M25" s="10" t="s">
        <v>42</v>
      </c>
      <c r="N25" s="10" t="s">
        <v>43</v>
      </c>
      <c r="O25" s="11" t="s">
        <v>51</v>
      </c>
    </row>
    <row r="26" spans="1:15" ht="78" customHeight="1" x14ac:dyDescent="0.35">
      <c r="A26" s="7" t="s">
        <v>136</v>
      </c>
      <c r="B26" s="7" t="s">
        <v>137</v>
      </c>
      <c r="C26" s="7" t="s">
        <v>130</v>
      </c>
      <c r="D26" s="7" t="s">
        <v>33</v>
      </c>
      <c r="E26" s="7" t="s">
        <v>34</v>
      </c>
      <c r="F26" s="8" t="s">
        <v>131</v>
      </c>
      <c r="G26" s="8" t="s">
        <v>132</v>
      </c>
      <c r="H26" s="8" t="s">
        <v>138</v>
      </c>
      <c r="I26" s="8" t="s">
        <v>139</v>
      </c>
      <c r="J26" s="8" t="s">
        <v>140</v>
      </c>
      <c r="K26" s="9" t="s">
        <v>40</v>
      </c>
      <c r="L26" s="7" t="s">
        <v>41</v>
      </c>
      <c r="M26" s="7" t="s">
        <v>42</v>
      </c>
      <c r="N26" s="7" t="s">
        <v>43</v>
      </c>
      <c r="O26" s="8" t="s">
        <v>51</v>
      </c>
    </row>
    <row r="27" spans="1:15" ht="78" customHeight="1" x14ac:dyDescent="0.35">
      <c r="A27" s="10" t="s">
        <v>141</v>
      </c>
      <c r="B27" s="10" t="s">
        <v>142</v>
      </c>
      <c r="C27" s="10" t="s">
        <v>95</v>
      </c>
      <c r="D27" s="10" t="s">
        <v>34</v>
      </c>
      <c r="E27" s="10" t="s">
        <v>61</v>
      </c>
      <c r="F27" s="11" t="s">
        <v>35</v>
      </c>
      <c r="G27" s="11" t="s">
        <v>143</v>
      </c>
      <c r="H27" s="11" t="s">
        <v>144</v>
      </c>
      <c r="I27" s="11" t="s">
        <v>145</v>
      </c>
      <c r="J27" s="11" t="s">
        <v>146</v>
      </c>
      <c r="K27" s="12" t="s">
        <v>66</v>
      </c>
      <c r="L27" s="10" t="s">
        <v>41</v>
      </c>
      <c r="M27" s="10" t="s">
        <v>42</v>
      </c>
      <c r="N27" s="10" t="s">
        <v>43</v>
      </c>
      <c r="O27" s="11" t="s">
        <v>147</v>
      </c>
    </row>
    <row r="28" spans="1:15" ht="78" customHeight="1" x14ac:dyDescent="0.35">
      <c r="A28" s="7" t="s">
        <v>148</v>
      </c>
      <c r="B28" s="7" t="s">
        <v>149</v>
      </c>
      <c r="C28" s="7" t="s">
        <v>150</v>
      </c>
      <c r="D28" s="7" t="s">
        <v>33</v>
      </c>
      <c r="E28" s="7" t="s">
        <v>33</v>
      </c>
      <c r="F28" s="8" t="s">
        <v>151</v>
      </c>
      <c r="G28" s="8" t="s">
        <v>152</v>
      </c>
      <c r="H28" s="8" t="s">
        <v>153</v>
      </c>
      <c r="I28" s="8" t="s">
        <v>154</v>
      </c>
      <c r="J28" s="8" t="s">
        <v>155</v>
      </c>
      <c r="K28" s="9" t="s">
        <v>40</v>
      </c>
      <c r="L28" s="7" t="s">
        <v>41</v>
      </c>
      <c r="M28" s="7" t="s">
        <v>42</v>
      </c>
      <c r="N28" s="7" t="s">
        <v>43</v>
      </c>
      <c r="O28" s="8" t="s">
        <v>51</v>
      </c>
    </row>
    <row r="29" spans="1:15" ht="78" customHeight="1" x14ac:dyDescent="0.35">
      <c r="A29" s="10" t="s">
        <v>156</v>
      </c>
      <c r="B29" s="10" t="s">
        <v>157</v>
      </c>
      <c r="C29" s="10" t="s">
        <v>123</v>
      </c>
      <c r="D29" s="10" t="s">
        <v>61</v>
      </c>
      <c r="E29" s="10" t="s">
        <v>61</v>
      </c>
      <c r="F29" s="11" t="s">
        <v>131</v>
      </c>
      <c r="G29" s="11" t="s">
        <v>158</v>
      </c>
      <c r="H29" s="11" t="s">
        <v>159</v>
      </c>
      <c r="I29" s="11" t="s">
        <v>160</v>
      </c>
      <c r="J29" s="11" t="s">
        <v>161</v>
      </c>
      <c r="K29" s="12" t="s">
        <v>66</v>
      </c>
      <c r="L29" s="10" t="s">
        <v>41</v>
      </c>
      <c r="M29" s="10" t="s">
        <v>42</v>
      </c>
      <c r="N29" s="10" t="s">
        <v>43</v>
      </c>
      <c r="O29" s="11" t="s">
        <v>162</v>
      </c>
    </row>
    <row r="30" spans="1:15" ht="78" customHeight="1" x14ac:dyDescent="0.35">
      <c r="A30" s="7" t="s">
        <v>163</v>
      </c>
      <c r="B30" s="7" t="s">
        <v>164</v>
      </c>
      <c r="C30" s="7" t="s">
        <v>165</v>
      </c>
      <c r="D30" s="7" t="s">
        <v>34</v>
      </c>
      <c r="E30" s="7" t="s">
        <v>61</v>
      </c>
      <c r="F30" s="8" t="s">
        <v>166</v>
      </c>
      <c r="G30" s="8" t="s">
        <v>167</v>
      </c>
      <c r="H30" s="8" t="s">
        <v>168</v>
      </c>
      <c r="I30" s="8" t="s">
        <v>169</v>
      </c>
      <c r="J30" s="8" t="s">
        <v>170</v>
      </c>
      <c r="K30" s="9" t="s">
        <v>40</v>
      </c>
      <c r="L30" s="7" t="s">
        <v>41</v>
      </c>
      <c r="M30" s="7" t="s">
        <v>42</v>
      </c>
      <c r="N30" s="7" t="s">
        <v>43</v>
      </c>
      <c r="O30" s="8" t="s">
        <v>51</v>
      </c>
    </row>
    <row r="31" spans="1:15" ht="78" customHeight="1" x14ac:dyDescent="0.35">
      <c r="A31" s="10" t="s">
        <v>171</v>
      </c>
      <c r="B31" s="10" t="s">
        <v>164</v>
      </c>
      <c r="C31" s="10" t="s">
        <v>165</v>
      </c>
      <c r="D31" s="10" t="s">
        <v>61</v>
      </c>
      <c r="E31" s="10" t="s">
        <v>61</v>
      </c>
      <c r="F31" s="11" t="s">
        <v>166</v>
      </c>
      <c r="G31" s="11" t="s">
        <v>172</v>
      </c>
      <c r="H31" s="11" t="s">
        <v>173</v>
      </c>
      <c r="I31" s="11" t="s">
        <v>174</v>
      </c>
      <c r="J31" s="11" t="s">
        <v>175</v>
      </c>
      <c r="K31" s="12" t="s">
        <v>66</v>
      </c>
      <c r="L31" s="10" t="s">
        <v>41</v>
      </c>
      <c r="M31" s="10" t="s">
        <v>42</v>
      </c>
      <c r="N31" s="10" t="s">
        <v>43</v>
      </c>
      <c r="O31" s="11" t="s">
        <v>176</v>
      </c>
    </row>
    <row r="32" spans="1:15" ht="78" customHeight="1" x14ac:dyDescent="0.35">
      <c r="A32" s="7" t="s">
        <v>177</v>
      </c>
      <c r="B32" s="7" t="s">
        <v>178</v>
      </c>
      <c r="C32" s="7" t="s">
        <v>179</v>
      </c>
      <c r="D32" s="7" t="s">
        <v>33</v>
      </c>
      <c r="E32" s="7" t="s">
        <v>34</v>
      </c>
      <c r="F32" s="8" t="s">
        <v>180</v>
      </c>
      <c r="G32" s="8" t="s">
        <v>132</v>
      </c>
      <c r="H32" s="8" t="s">
        <v>181</v>
      </c>
      <c r="I32" s="8" t="s">
        <v>182</v>
      </c>
      <c r="J32" s="8" t="s">
        <v>183</v>
      </c>
      <c r="K32" s="9" t="s">
        <v>40</v>
      </c>
      <c r="L32" s="7" t="s">
        <v>41</v>
      </c>
      <c r="M32" s="7" t="s">
        <v>42</v>
      </c>
      <c r="N32" s="7" t="s">
        <v>43</v>
      </c>
      <c r="O32" s="8" t="s">
        <v>51</v>
      </c>
    </row>
    <row r="33" spans="1:15" ht="78" customHeight="1" x14ac:dyDescent="0.35">
      <c r="A33" s="10" t="s">
        <v>184</v>
      </c>
      <c r="B33" s="10" t="s">
        <v>178</v>
      </c>
      <c r="C33" s="10" t="s">
        <v>179</v>
      </c>
      <c r="D33" s="10" t="s">
        <v>34</v>
      </c>
      <c r="E33" s="10" t="s">
        <v>34</v>
      </c>
      <c r="F33" s="11" t="s">
        <v>185</v>
      </c>
      <c r="G33" s="11" t="s">
        <v>132</v>
      </c>
      <c r="H33" s="11" t="s">
        <v>186</v>
      </c>
      <c r="I33" s="11" t="s">
        <v>187</v>
      </c>
      <c r="J33" s="11" t="s">
        <v>188</v>
      </c>
      <c r="K33" s="13" t="s">
        <v>189</v>
      </c>
      <c r="L33" s="10" t="s">
        <v>41</v>
      </c>
      <c r="M33" s="10" t="s">
        <v>42</v>
      </c>
      <c r="N33" s="10" t="s">
        <v>190</v>
      </c>
      <c r="O33" s="11" t="s">
        <v>191</v>
      </c>
    </row>
    <row r="34" spans="1:15" ht="78" customHeight="1" x14ac:dyDescent="0.35">
      <c r="A34" s="7" t="s">
        <v>192</v>
      </c>
      <c r="B34" s="7" t="s">
        <v>193</v>
      </c>
      <c r="C34" s="7" t="s">
        <v>95</v>
      </c>
      <c r="D34" s="7" t="s">
        <v>34</v>
      </c>
      <c r="E34" s="7" t="s">
        <v>34</v>
      </c>
      <c r="F34" s="8" t="s">
        <v>35</v>
      </c>
      <c r="G34" s="8" t="s">
        <v>132</v>
      </c>
      <c r="H34" s="8" t="s">
        <v>194</v>
      </c>
      <c r="I34" s="8" t="s">
        <v>195</v>
      </c>
      <c r="J34" s="8" t="s">
        <v>196</v>
      </c>
      <c r="K34" s="9" t="s">
        <v>40</v>
      </c>
      <c r="L34" s="7" t="s">
        <v>41</v>
      </c>
      <c r="M34" s="7" t="s">
        <v>42</v>
      </c>
      <c r="N34" s="7" t="s">
        <v>43</v>
      </c>
      <c r="O34" s="8" t="s">
        <v>51</v>
      </c>
    </row>
    <row r="35" spans="1:15" ht="78" customHeight="1" x14ac:dyDescent="0.35">
      <c r="A35" s="10" t="s">
        <v>197</v>
      </c>
      <c r="B35" s="10" t="s">
        <v>193</v>
      </c>
      <c r="C35" s="10" t="s">
        <v>95</v>
      </c>
      <c r="D35" s="10" t="s">
        <v>34</v>
      </c>
      <c r="E35" s="10" t="s">
        <v>34</v>
      </c>
      <c r="F35" s="11" t="s">
        <v>198</v>
      </c>
      <c r="G35" s="11" t="s">
        <v>199</v>
      </c>
      <c r="H35" s="11" t="s">
        <v>200</v>
      </c>
      <c r="I35" s="11" t="s">
        <v>201</v>
      </c>
      <c r="J35" s="11" t="s">
        <v>202</v>
      </c>
      <c r="K35" s="13" t="s">
        <v>189</v>
      </c>
      <c r="L35" s="10" t="s">
        <v>41</v>
      </c>
      <c r="M35" s="10" t="s">
        <v>42</v>
      </c>
      <c r="N35" s="10" t="s">
        <v>43</v>
      </c>
      <c r="O35" s="11" t="s">
        <v>203</v>
      </c>
    </row>
    <row r="36" spans="1:15" ht="78" customHeight="1" x14ac:dyDescent="0.35">
      <c r="A36" s="7" t="s">
        <v>204</v>
      </c>
      <c r="B36" s="7" t="s">
        <v>205</v>
      </c>
      <c r="C36" s="7" t="s">
        <v>32</v>
      </c>
      <c r="D36" s="7" t="s">
        <v>34</v>
      </c>
      <c r="E36" s="7" t="s">
        <v>61</v>
      </c>
      <c r="F36" s="8" t="s">
        <v>35</v>
      </c>
      <c r="G36" s="8" t="s">
        <v>206</v>
      </c>
      <c r="H36" s="8" t="s">
        <v>207</v>
      </c>
      <c r="I36" s="8" t="s">
        <v>208</v>
      </c>
      <c r="J36" s="8" t="s">
        <v>209</v>
      </c>
      <c r="K36" s="9" t="s">
        <v>40</v>
      </c>
      <c r="L36" s="7" t="s">
        <v>41</v>
      </c>
      <c r="M36" s="7" t="s">
        <v>210</v>
      </c>
      <c r="N36" s="7" t="s">
        <v>43</v>
      </c>
      <c r="O36" s="8" t="s">
        <v>211</v>
      </c>
    </row>
    <row r="37" spans="1:15" ht="78" customHeight="1" x14ac:dyDescent="0.35">
      <c r="A37" s="10" t="s">
        <v>212</v>
      </c>
      <c r="B37" s="10" t="s">
        <v>213</v>
      </c>
      <c r="C37" s="10" t="s">
        <v>214</v>
      </c>
      <c r="D37" s="10" t="s">
        <v>34</v>
      </c>
      <c r="E37" s="10" t="s">
        <v>61</v>
      </c>
      <c r="F37" s="11" t="s">
        <v>35</v>
      </c>
      <c r="G37" s="11" t="s">
        <v>36</v>
      </c>
      <c r="H37" s="11" t="s">
        <v>215</v>
      </c>
      <c r="I37" s="11" t="s">
        <v>216</v>
      </c>
      <c r="J37" s="11" t="s">
        <v>217</v>
      </c>
      <c r="K37" s="9" t="s">
        <v>40</v>
      </c>
      <c r="L37" s="10" t="s">
        <v>41</v>
      </c>
      <c r="M37" s="10" t="s">
        <v>210</v>
      </c>
      <c r="N37" s="10" t="s">
        <v>43</v>
      </c>
      <c r="O37" s="11" t="s">
        <v>51</v>
      </c>
    </row>
    <row r="38" spans="1:15" ht="78" customHeight="1" x14ac:dyDescent="0.35">
      <c r="A38" s="7" t="s">
        <v>218</v>
      </c>
      <c r="B38" s="7" t="s">
        <v>219</v>
      </c>
      <c r="C38" s="7" t="s">
        <v>220</v>
      </c>
      <c r="D38" s="7" t="s">
        <v>34</v>
      </c>
      <c r="E38" s="7" t="s">
        <v>61</v>
      </c>
      <c r="F38" s="8" t="s">
        <v>35</v>
      </c>
      <c r="G38" s="8" t="s">
        <v>132</v>
      </c>
      <c r="H38" s="8" t="s">
        <v>221</v>
      </c>
      <c r="I38" s="8" t="s">
        <v>222</v>
      </c>
      <c r="J38" s="8" t="s">
        <v>223</v>
      </c>
      <c r="K38" s="9" t="s">
        <v>40</v>
      </c>
      <c r="L38" s="7" t="s">
        <v>41</v>
      </c>
      <c r="M38" s="7" t="s">
        <v>210</v>
      </c>
      <c r="N38" s="7" t="s">
        <v>43</v>
      </c>
      <c r="O38" s="8" t="s">
        <v>224</v>
      </c>
    </row>
    <row r="39" spans="1:15" ht="78" customHeight="1" x14ac:dyDescent="0.35">
      <c r="A39" s="10" t="s">
        <v>225</v>
      </c>
      <c r="B39" s="10" t="s">
        <v>219</v>
      </c>
      <c r="C39" s="10" t="s">
        <v>220</v>
      </c>
      <c r="D39" s="10" t="s">
        <v>61</v>
      </c>
      <c r="E39" s="10" t="s">
        <v>61</v>
      </c>
      <c r="F39" s="11" t="s">
        <v>35</v>
      </c>
      <c r="G39" s="11" t="s">
        <v>132</v>
      </c>
      <c r="H39" s="11" t="s">
        <v>226</v>
      </c>
      <c r="I39" s="11" t="s">
        <v>227</v>
      </c>
      <c r="J39" s="11" t="s">
        <v>228</v>
      </c>
      <c r="K39" s="14" t="s">
        <v>229</v>
      </c>
      <c r="L39" s="10" t="s">
        <v>41</v>
      </c>
      <c r="M39" s="10" t="s">
        <v>210</v>
      </c>
      <c r="N39" s="10" t="s">
        <v>43</v>
      </c>
      <c r="O39" s="11" t="s">
        <v>230</v>
      </c>
    </row>
    <row r="40" spans="1:15" ht="78" customHeight="1" x14ac:dyDescent="0.35">
      <c r="A40" s="7" t="s">
        <v>231</v>
      </c>
      <c r="B40" s="7" t="s">
        <v>232</v>
      </c>
      <c r="C40" s="7" t="s">
        <v>233</v>
      </c>
      <c r="D40" s="7" t="s">
        <v>34</v>
      </c>
      <c r="E40" s="7" t="s">
        <v>61</v>
      </c>
      <c r="F40" s="8" t="s">
        <v>234</v>
      </c>
      <c r="G40" s="8" t="s">
        <v>132</v>
      </c>
      <c r="H40" s="8" t="s">
        <v>235</v>
      </c>
      <c r="I40" s="8" t="s">
        <v>236</v>
      </c>
      <c r="J40" s="8" t="s">
        <v>237</v>
      </c>
      <c r="K40" s="9" t="s">
        <v>40</v>
      </c>
      <c r="L40" s="7" t="s">
        <v>41</v>
      </c>
      <c r="M40" s="7" t="s">
        <v>210</v>
      </c>
      <c r="N40" s="7" t="s">
        <v>43</v>
      </c>
      <c r="O40" s="8" t="s">
        <v>51</v>
      </c>
    </row>
    <row r="41" spans="1:15" ht="78" customHeight="1" x14ac:dyDescent="0.35">
      <c r="A41" s="10" t="s">
        <v>238</v>
      </c>
      <c r="B41" s="10" t="s">
        <v>232</v>
      </c>
      <c r="C41" s="10" t="s">
        <v>233</v>
      </c>
      <c r="D41" s="10" t="s">
        <v>61</v>
      </c>
      <c r="E41" s="10" t="s">
        <v>61</v>
      </c>
      <c r="F41" s="11" t="s">
        <v>239</v>
      </c>
      <c r="G41" s="11" t="s">
        <v>132</v>
      </c>
      <c r="H41" s="11" t="s">
        <v>240</v>
      </c>
      <c r="I41" s="11" t="s">
        <v>241</v>
      </c>
      <c r="J41" s="11" t="s">
        <v>242</v>
      </c>
      <c r="K41" s="14" t="s">
        <v>229</v>
      </c>
      <c r="L41" s="10" t="s">
        <v>41</v>
      </c>
      <c r="M41" s="10" t="s">
        <v>210</v>
      </c>
      <c r="N41" s="10" t="s">
        <v>43</v>
      </c>
      <c r="O41" s="11" t="s">
        <v>243</v>
      </c>
    </row>
    <row r="42" spans="1:15" ht="78" customHeight="1" x14ac:dyDescent="0.35">
      <c r="A42" s="7" t="s">
        <v>244</v>
      </c>
      <c r="B42" s="7" t="s">
        <v>245</v>
      </c>
      <c r="C42" s="7" t="s">
        <v>32</v>
      </c>
      <c r="D42" s="7" t="s">
        <v>34</v>
      </c>
      <c r="E42" s="7" t="s">
        <v>34</v>
      </c>
      <c r="F42" s="8" t="s">
        <v>35</v>
      </c>
      <c r="G42" s="8" t="s">
        <v>246</v>
      </c>
      <c r="H42" s="8" t="s">
        <v>247</v>
      </c>
      <c r="I42" s="8" t="s">
        <v>248</v>
      </c>
      <c r="J42" s="8" t="s">
        <v>249</v>
      </c>
      <c r="K42" s="9" t="s">
        <v>40</v>
      </c>
      <c r="L42" s="7" t="s">
        <v>41</v>
      </c>
      <c r="M42" s="7" t="s">
        <v>210</v>
      </c>
      <c r="N42" s="7" t="s">
        <v>43</v>
      </c>
      <c r="O42" s="8" t="s">
        <v>51</v>
      </c>
    </row>
    <row r="43" spans="1:15" ht="78" customHeight="1" x14ac:dyDescent="0.35">
      <c r="A43" s="10" t="s">
        <v>250</v>
      </c>
      <c r="B43" s="10" t="s">
        <v>251</v>
      </c>
      <c r="C43" s="10" t="s">
        <v>252</v>
      </c>
      <c r="D43" s="10" t="s">
        <v>34</v>
      </c>
      <c r="E43" s="10" t="s">
        <v>61</v>
      </c>
      <c r="F43" s="11" t="s">
        <v>253</v>
      </c>
      <c r="G43" s="11" t="s">
        <v>254</v>
      </c>
      <c r="H43" s="11" t="s">
        <v>255</v>
      </c>
      <c r="I43" s="11" t="s">
        <v>256</v>
      </c>
      <c r="J43" s="11" t="s">
        <v>257</v>
      </c>
      <c r="K43" s="9" t="s">
        <v>40</v>
      </c>
      <c r="L43" s="10" t="s">
        <v>41</v>
      </c>
      <c r="M43" s="10" t="s">
        <v>210</v>
      </c>
      <c r="N43" s="10" t="s">
        <v>43</v>
      </c>
      <c r="O43" s="11" t="s">
        <v>258</v>
      </c>
    </row>
  </sheetData>
  <autoFilter ref="A11:O43" xr:uid="{00000000-0009-0000-0000-000000000000}"/>
  <mergeCells count="16">
    <mergeCell ref="A8:C8"/>
    <mergeCell ref="D8:O8"/>
    <mergeCell ref="A9:C9"/>
    <mergeCell ref="D9:O9"/>
    <mergeCell ref="A5:C5"/>
    <mergeCell ref="D5:O5"/>
    <mergeCell ref="A6:C6"/>
    <mergeCell ref="D6:O6"/>
    <mergeCell ref="A7:C7"/>
    <mergeCell ref="D7:O7"/>
    <mergeCell ref="A1:O1"/>
    <mergeCell ref="A2:O2"/>
    <mergeCell ref="A3:C3"/>
    <mergeCell ref="D3:O3"/>
    <mergeCell ref="A4:C4"/>
    <mergeCell ref="D4:O4"/>
  </mergeCells>
  <dataValidations count="2">
    <dataValidation type="list" allowBlank="1" sqref="K12:K43" xr:uid="{00000000-0002-0000-0000-000000000000}">
      <formula1>"Pass,Fail,Blocked,Deferred,Not Executed"</formula1>
      <formula2>0</formula2>
    </dataValidation>
    <dataValidation type="list" allowBlank="1" sqref="D12:E43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zoomScaleNormal="100" workbookViewId="0"/>
  </sheetViews>
  <sheetFormatPr defaultColWidth="8.6328125" defaultRowHeight="14.5" x14ac:dyDescent="0.35"/>
  <cols>
    <col min="1" max="1" width="20" customWidth="1"/>
    <col min="2" max="4" width="11" customWidth="1"/>
  </cols>
  <sheetData>
    <row r="1" spans="1:4" ht="24" customHeight="1" x14ac:dyDescent="0.35">
      <c r="A1" s="1" t="s">
        <v>259</v>
      </c>
      <c r="B1" s="1"/>
      <c r="C1" s="1"/>
      <c r="D1" s="1"/>
    </row>
    <row r="3" spans="1:4" x14ac:dyDescent="0.35">
      <c r="A3" s="15" t="s">
        <v>260</v>
      </c>
      <c r="B3" s="16" t="s">
        <v>261</v>
      </c>
    </row>
    <row r="4" spans="1:4" x14ac:dyDescent="0.35">
      <c r="A4" s="15" t="s">
        <v>262</v>
      </c>
      <c r="B4" s="16">
        <f>COUNTA('Test Execution Log'!A12:A43)</f>
        <v>32</v>
      </c>
    </row>
    <row r="5" spans="1:4" x14ac:dyDescent="0.35">
      <c r="A5" s="17" t="s">
        <v>25</v>
      </c>
      <c r="B5" s="17" t="s">
        <v>263</v>
      </c>
      <c r="C5" s="17" t="s">
        <v>264</v>
      </c>
    </row>
    <row r="6" spans="1:4" x14ac:dyDescent="0.35">
      <c r="A6" s="18" t="s">
        <v>40</v>
      </c>
      <c r="B6" s="19">
        <f>COUNTIF('Test Execution Log'!K12:K43,A6)</f>
        <v>21</v>
      </c>
      <c r="C6" s="20">
        <f>IFERROR(B6/$B$4,0)</f>
        <v>0.65625</v>
      </c>
    </row>
    <row r="7" spans="1:4" x14ac:dyDescent="0.35">
      <c r="A7" s="21" t="s">
        <v>66</v>
      </c>
      <c r="B7" s="19">
        <f>COUNTIF('Test Execution Log'!K12:K43,A7)</f>
        <v>7</v>
      </c>
      <c r="C7" s="20">
        <f>IFERROR(B7/$B$4,0)</f>
        <v>0.21875</v>
      </c>
    </row>
    <row r="8" spans="1:4" x14ac:dyDescent="0.35">
      <c r="A8" s="22" t="s">
        <v>189</v>
      </c>
      <c r="B8" s="19">
        <f>COUNTIF('Test Execution Log'!K12:K43,A8)</f>
        <v>2</v>
      </c>
      <c r="C8" s="20">
        <f>IFERROR(B8/$B$4,0)</f>
        <v>6.25E-2</v>
      </c>
    </row>
    <row r="9" spans="1:4" x14ac:dyDescent="0.35">
      <c r="A9" s="23" t="s">
        <v>229</v>
      </c>
      <c r="B9" s="19">
        <f>COUNTIF('Test Execution Log'!K12:K43,A9)</f>
        <v>2</v>
      </c>
      <c r="C9" s="20">
        <f>IFERROR(B9/$B$4,0)</f>
        <v>6.25E-2</v>
      </c>
    </row>
    <row r="10" spans="1:4" x14ac:dyDescent="0.35">
      <c r="A10" s="24" t="s">
        <v>265</v>
      </c>
      <c r="B10" s="19">
        <f>COUNTIF('Test Execution Log'!K12:K43,A10)</f>
        <v>0</v>
      </c>
      <c r="C10" s="20">
        <f>IFERROR(B10/$B$4,0)</f>
        <v>0</v>
      </c>
    </row>
    <row r="11" spans="1:4" x14ac:dyDescent="0.35">
      <c r="A11" s="15" t="s">
        <v>266</v>
      </c>
      <c r="B11" s="25">
        <f>IFERROR(B6/(B6+B7),0)</f>
        <v>0.75</v>
      </c>
    </row>
    <row r="13" spans="1:4" x14ac:dyDescent="0.35">
      <c r="A13" s="17" t="s">
        <v>17</v>
      </c>
      <c r="B13" s="17" t="s">
        <v>267</v>
      </c>
      <c r="C13" s="17" t="s">
        <v>40</v>
      </c>
      <c r="D13" s="17" t="s">
        <v>66</v>
      </c>
    </row>
    <row r="14" spans="1:4" x14ac:dyDescent="0.35">
      <c r="A14" s="26" t="s">
        <v>32</v>
      </c>
      <c r="B14" s="19">
        <f>COUNTIF('Test Execution Log'!C12:C43,A14)</f>
        <v>5</v>
      </c>
      <c r="C14" s="19">
        <f>COUNTIFS('Test Execution Log'!C12:C43,A14,'Test Execution Log'!K12:K43,"Pass")</f>
        <v>5</v>
      </c>
      <c r="D14" s="19">
        <f>COUNTIFS('Test Execution Log'!C12:C43,A14,'Test Execution Log'!K12:K43,"Fail")</f>
        <v>0</v>
      </c>
    </row>
    <row r="15" spans="1:4" x14ac:dyDescent="0.35">
      <c r="A15" s="26" t="s">
        <v>60</v>
      </c>
      <c r="B15" s="19">
        <f>COUNTIF('Test Execution Log'!C12:C43,A15)</f>
        <v>4</v>
      </c>
      <c r="C15" s="19">
        <f>COUNTIFS('Test Execution Log'!C12:C43,A15,'Test Execution Log'!K12:K43,"Pass")</f>
        <v>1</v>
      </c>
      <c r="D15" s="19">
        <f>COUNTIFS('Test Execution Log'!C12:C43,A15,'Test Execution Log'!K12:K43,"Fail")</f>
        <v>3</v>
      </c>
    </row>
    <row r="16" spans="1:4" x14ac:dyDescent="0.35">
      <c r="A16" s="26" t="s">
        <v>88</v>
      </c>
      <c r="B16" s="19">
        <f>COUNTIF('Test Execution Log'!C12:C43,A16)</f>
        <v>1</v>
      </c>
      <c r="C16" s="19">
        <f>COUNTIFS('Test Execution Log'!C12:C43,A16,'Test Execution Log'!K12:K43,"Pass")</f>
        <v>1</v>
      </c>
      <c r="D16" s="19">
        <f>COUNTIFS('Test Execution Log'!C12:C43,A16,'Test Execution Log'!K12:K43,"Fail")</f>
        <v>0</v>
      </c>
    </row>
    <row r="17" spans="1:4" x14ac:dyDescent="0.35">
      <c r="A17" s="26" t="s">
        <v>95</v>
      </c>
      <c r="B17" s="19">
        <f>COUNTIF('Test Execution Log'!C12:C43,A17)</f>
        <v>5</v>
      </c>
      <c r="C17" s="19">
        <f>COUNTIFS('Test Execution Log'!C12:C43,A17,'Test Execution Log'!K12:K43,"Pass")</f>
        <v>3</v>
      </c>
      <c r="D17" s="19">
        <f>COUNTIFS('Test Execution Log'!C12:C43,A17,'Test Execution Log'!K12:K43,"Fail")</f>
        <v>1</v>
      </c>
    </row>
    <row r="18" spans="1:4" x14ac:dyDescent="0.35">
      <c r="A18" s="26" t="s">
        <v>110</v>
      </c>
      <c r="B18" s="19">
        <f>COUNTIF('Test Execution Log'!C12:C43,A18)</f>
        <v>2</v>
      </c>
      <c r="C18" s="19">
        <f>COUNTIFS('Test Execution Log'!C12:C43,A18,'Test Execution Log'!K12:K43,"Pass")</f>
        <v>1</v>
      </c>
      <c r="D18" s="19">
        <f>COUNTIFS('Test Execution Log'!C12:C43,A18,'Test Execution Log'!K12:K43,"Fail")</f>
        <v>1</v>
      </c>
    </row>
    <row r="19" spans="1:4" x14ac:dyDescent="0.35">
      <c r="A19" s="26" t="s">
        <v>123</v>
      </c>
      <c r="B19" s="19">
        <f>COUNTIF('Test Execution Log'!C12:C43,A19)</f>
        <v>2</v>
      </c>
      <c r="C19" s="19">
        <f>COUNTIFS('Test Execution Log'!C12:C43,A19,'Test Execution Log'!K12:K43,"Pass")</f>
        <v>1</v>
      </c>
      <c r="D19" s="19">
        <f>COUNTIFS('Test Execution Log'!C12:C43,A19,'Test Execution Log'!K12:K43,"Fail")</f>
        <v>1</v>
      </c>
    </row>
    <row r="20" spans="1:4" x14ac:dyDescent="0.35">
      <c r="A20" s="26" t="s">
        <v>130</v>
      </c>
      <c r="B20" s="19">
        <f>COUNTIF('Test Execution Log'!C12:C43,A20)</f>
        <v>2</v>
      </c>
      <c r="C20" s="19">
        <f>COUNTIFS('Test Execution Log'!C12:C43,A20,'Test Execution Log'!K12:K43,"Pass")</f>
        <v>2</v>
      </c>
      <c r="D20" s="19">
        <f>COUNTIFS('Test Execution Log'!C12:C43,A20,'Test Execution Log'!K12:K43,"Fail")</f>
        <v>0</v>
      </c>
    </row>
    <row r="21" spans="1:4" x14ac:dyDescent="0.35">
      <c r="A21" s="26" t="s">
        <v>150</v>
      </c>
      <c r="B21" s="19">
        <f>COUNTIF('Test Execution Log'!C12:C43,A21)</f>
        <v>1</v>
      </c>
      <c r="C21" s="19">
        <f>COUNTIFS('Test Execution Log'!C12:C43,A21,'Test Execution Log'!K12:K43,"Pass")</f>
        <v>1</v>
      </c>
      <c r="D21" s="19">
        <f>COUNTIFS('Test Execution Log'!C12:C43,A21,'Test Execution Log'!K12:K43,"Fail")</f>
        <v>0</v>
      </c>
    </row>
    <row r="22" spans="1:4" x14ac:dyDescent="0.35">
      <c r="A22" s="26" t="s">
        <v>165</v>
      </c>
      <c r="B22" s="19">
        <f>COUNTIF('Test Execution Log'!C12:C43,A22)</f>
        <v>2</v>
      </c>
      <c r="C22" s="19">
        <f>COUNTIFS('Test Execution Log'!C12:C43,A22,'Test Execution Log'!K12:K43,"Pass")</f>
        <v>1</v>
      </c>
      <c r="D22" s="19">
        <f>COUNTIFS('Test Execution Log'!C12:C43,A22,'Test Execution Log'!K12:K43,"Fail")</f>
        <v>1</v>
      </c>
    </row>
    <row r="23" spans="1:4" x14ac:dyDescent="0.35">
      <c r="A23" s="26" t="s">
        <v>179</v>
      </c>
      <c r="B23" s="19">
        <f>COUNTIF('Test Execution Log'!C12:C43,A23)</f>
        <v>2</v>
      </c>
      <c r="C23" s="19">
        <f>COUNTIFS('Test Execution Log'!C12:C43,A23,'Test Execution Log'!K12:K43,"Pass")</f>
        <v>1</v>
      </c>
      <c r="D23" s="19">
        <f>COUNTIFS('Test Execution Log'!C12:C43,A23,'Test Execution Log'!K12:K43,"Fail")</f>
        <v>0</v>
      </c>
    </row>
    <row r="24" spans="1:4" x14ac:dyDescent="0.35">
      <c r="A24" s="26" t="s">
        <v>214</v>
      </c>
      <c r="B24" s="19">
        <f>COUNTIF('Test Execution Log'!C12:C43,A24)</f>
        <v>1</v>
      </c>
      <c r="C24" s="19">
        <f>COUNTIFS('Test Execution Log'!C12:C43,A24,'Test Execution Log'!K12:K43,"Pass")</f>
        <v>1</v>
      </c>
      <c r="D24" s="19">
        <f>COUNTIFS('Test Execution Log'!C12:C43,A24,'Test Execution Log'!K12:K43,"Fail")</f>
        <v>0</v>
      </c>
    </row>
    <row r="25" spans="1:4" x14ac:dyDescent="0.35">
      <c r="A25" s="26" t="s">
        <v>220</v>
      </c>
      <c r="B25" s="19">
        <f>COUNTIF('Test Execution Log'!C12:C43,A25)</f>
        <v>2</v>
      </c>
      <c r="C25" s="19">
        <f>COUNTIFS('Test Execution Log'!C12:C43,A25,'Test Execution Log'!K12:K43,"Pass")</f>
        <v>1</v>
      </c>
      <c r="D25" s="19">
        <f>COUNTIFS('Test Execution Log'!C12:C43,A25,'Test Execution Log'!K12:K43,"Fail")</f>
        <v>0</v>
      </c>
    </row>
    <row r="26" spans="1:4" x14ac:dyDescent="0.35">
      <c r="A26" s="26" t="s">
        <v>233</v>
      </c>
      <c r="B26" s="19">
        <f>COUNTIF('Test Execution Log'!C12:C43,A26)</f>
        <v>2</v>
      </c>
      <c r="C26" s="19">
        <f>COUNTIFS('Test Execution Log'!C12:C43,A26,'Test Execution Log'!K12:K43,"Pass")</f>
        <v>1</v>
      </c>
      <c r="D26" s="19">
        <f>COUNTIFS('Test Execution Log'!C12:C43,A26,'Test Execution Log'!K12:K43,"Fail")</f>
        <v>0</v>
      </c>
    </row>
    <row r="27" spans="1:4" x14ac:dyDescent="0.35">
      <c r="A27" s="26" t="s">
        <v>252</v>
      </c>
      <c r="B27" s="19">
        <f>COUNTIF('Test Execution Log'!C12:C43,A27)</f>
        <v>1</v>
      </c>
      <c r="C27" s="19">
        <f>COUNTIFS('Test Execution Log'!C12:C43,A27,'Test Execution Log'!K12:K43,"Pass")</f>
        <v>1</v>
      </c>
      <c r="D27" s="19">
        <f>COUNTIFS('Test Execution Log'!C12:C43,A27,'Test Execution Log'!K12:K43,"Fail")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Log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2026-07-29T07:28:06Z</dcterms:created>
  <dcterms:modified xsi:type="dcterms:W3CDTF">2026-08-04T05:16:18Z</dcterms:modified>
  <dc:language>en-US</dc:language>
</cp:coreProperties>
</file>