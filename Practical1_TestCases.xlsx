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Admin\Documents\STUDY MATERIAL BCA\SEM-3\Software Testing\PR\"/>
    </mc:Choice>
  </mc:AlternateContent>
  <xr:revisionPtr revIDLastSave="0" documentId="13_ncr:1_{FC4F0DC2-638E-411D-839F-65E10E51EC74}" xr6:coauthVersionLast="47" xr6:coauthVersionMax="47" xr10:uidLastSave="{00000000-0000-0000-0000-000000000000}"/>
  <bookViews>
    <workbookView xWindow="-110" yWindow="-110" windowWidth="19420" windowHeight="10300" tabRatio="500" xr2:uid="{00000000-000D-0000-FFFF-FFFF00000000}"/>
  </bookViews>
  <sheets>
    <sheet name="Test Cases" sheetId="1" r:id="rId1"/>
    <sheet name="Summary" sheetId="2" r:id="rId2"/>
  </sheets>
  <definedNames>
    <definedName name="_xlnm._FilterDatabase" localSheetId="0" hidden="1">'Test Cases'!$A$10:$M$50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26" i="2" l="1"/>
  <c r="C26" i="2"/>
  <c r="B26" i="2"/>
  <c r="D25" i="2"/>
  <c r="C25" i="2"/>
  <c r="B25" i="2"/>
  <c r="D24" i="2"/>
  <c r="C24" i="2"/>
  <c r="B24" i="2"/>
  <c r="D23" i="2"/>
  <c r="C23" i="2"/>
  <c r="B23" i="2"/>
  <c r="D22" i="2"/>
  <c r="C22" i="2"/>
  <c r="B22" i="2"/>
  <c r="D21" i="2"/>
  <c r="C21" i="2"/>
  <c r="B21" i="2"/>
  <c r="D20" i="2"/>
  <c r="C20" i="2"/>
  <c r="B20" i="2"/>
  <c r="D19" i="2"/>
  <c r="C19" i="2"/>
  <c r="B19" i="2"/>
  <c r="D18" i="2"/>
  <c r="C18" i="2"/>
  <c r="B18" i="2"/>
  <c r="D17" i="2"/>
  <c r="C17" i="2"/>
  <c r="B17" i="2"/>
  <c r="D16" i="2"/>
  <c r="C16" i="2"/>
  <c r="B16" i="2"/>
  <c r="D15" i="2"/>
  <c r="C15" i="2"/>
  <c r="B15" i="2"/>
  <c r="D14" i="2"/>
  <c r="C14" i="2"/>
  <c r="B14" i="2"/>
  <c r="D13" i="2"/>
  <c r="C13" i="2"/>
  <c r="B13" i="2"/>
  <c r="C9" i="2"/>
  <c r="B9" i="2"/>
  <c r="B8" i="2"/>
  <c r="C8" i="2" s="1"/>
  <c r="C7" i="2"/>
  <c r="B7" i="2"/>
  <c r="B6" i="2"/>
  <c r="C6" i="2" s="1"/>
  <c r="B4" i="2"/>
  <c r="B10" i="2" l="1"/>
</calcChain>
</file>

<file path=xl/sharedStrings.xml><?xml version="1.0" encoding="utf-8"?>
<sst xmlns="http://schemas.openxmlformats.org/spreadsheetml/2006/main" count="577" uniqueCount="337">
  <si>
    <t>PRACTICAL 1 — SOFTWARE TEST CASE DOCUMENT</t>
  </si>
  <si>
    <t>Website Functional, UI, Negative &amp; Non-Functional Test Suite — jeksonvision.com</t>
  </si>
  <si>
    <t>Application Under Test:</t>
  </si>
  <si>
    <t>Jekson Vision — Corporate Website (https://jeksonvision.com)</t>
  </si>
  <si>
    <t>Module Scope:</t>
  </si>
  <si>
    <t>Homepage, Navigation, About, Products &amp; Solutions, Contact, Footer, Cross-Cutting (Responsive / Cross-Browser / Accessibility / Performance)</t>
  </si>
  <si>
    <t>Prepared By:</t>
  </si>
  <si>
    <t>Test Design Technique:</t>
  </si>
  <si>
    <t>Black-Box — Equivalence Partitioning, Boundary Value Analysis, Error Guessing, Exploratory Testing</t>
  </si>
  <si>
    <t>Test Environment:</t>
  </si>
  <si>
    <t>Production (Live Website)</t>
  </si>
  <si>
    <t>Date:</t>
  </si>
  <si>
    <t>28-Jul-2026</t>
  </si>
  <si>
    <t>Test Case ID</t>
  </si>
  <si>
    <t>Requirement ID</t>
  </si>
  <si>
    <t>Module</t>
  </si>
  <si>
    <t>Priority</t>
  </si>
  <si>
    <t>Severity</t>
  </si>
  <si>
    <t>Preconditions</t>
  </si>
  <si>
    <t>Test Data</t>
  </si>
  <si>
    <t>Steps</t>
  </si>
  <si>
    <t>Expected Result</t>
  </si>
  <si>
    <t>Actual Result</t>
  </si>
  <si>
    <t>Status</t>
  </si>
  <si>
    <t>Automation Status</t>
  </si>
  <si>
    <t>Remarks</t>
  </si>
  <si>
    <t>TC_HP_01</t>
  </si>
  <si>
    <t>REQ-HP-01</t>
  </si>
  <si>
    <t>Homepage</t>
  </si>
  <si>
    <t>High</t>
  </si>
  <si>
    <t>Medium</t>
  </si>
  <si>
    <t>Browser installed; stable internet connection; site is publicly reachable</t>
  </si>
  <si>
    <t>URL: https://jeksonvision.com</t>
  </si>
  <si>
    <t>1. Launch browser
2. Navigate to https://jeksonvision.com
3. Wait for the page to fully load
4. Visually verify header, hero banner, 'Our Solutions', stats, blog and footer sections are present</t>
  </si>
  <si>
    <t>Homepage renders fully with header, hero banner carousel, Our Solutions section, Global Impact statistics, Knowledge Base section and footer, with no layout breakage</t>
  </si>
  <si>
    <t>All key sections rendered correctly; page loaded within acceptable time</t>
  </si>
  <si>
    <t>Pass</t>
  </si>
  <si>
    <t>Automated (Playwright)</t>
  </si>
  <si>
    <t>Baseline smoke test for the homepage</t>
  </si>
  <si>
    <t>TC_HP_02</t>
  </si>
  <si>
    <t>REQ-HP-02</t>
  </si>
  <si>
    <t>Low</t>
  </si>
  <si>
    <t>Homepage is loaded and visible</t>
  </si>
  <si>
    <t>N/A — visual/timing observation</t>
  </si>
  <si>
    <t>1. Load homepage
2. Observe hero banner area for at least 30 seconds
3. Confirm the banner auto-rotates through all 5 slides (Line Clearance, Track &amp; Trace, Vision Inspection, REESMART/OEE, Product Digitization)</t>
  </si>
  <si>
    <t>Banner auto-rotates through all 5 slides, each displaying its own headline, sub-text and CTA button without stalling</t>
  </si>
  <si>
    <t>Banner rotated through all 5 slides as expected; no stalling observed</t>
  </si>
  <si>
    <t>Manual</t>
  </si>
  <si>
    <t>Timing/animation behaviour is better suited to manual observation than assertion-based automation</t>
  </si>
  <si>
    <t>TC_HP_03</t>
  </si>
  <si>
    <t>REQ-HP-03</t>
  </si>
  <si>
    <t>Homepage is loaded</t>
  </si>
  <si>
    <t>CTA links: 'Read more' / 'Read More' on each of the 5 hero banner slides</t>
  </si>
  <si>
    <t>1. Load homepage
2. Click 'Read more' on each hero banner slide in turn
3. Record the destination URL each CTA resolves to
4. Compare destination against the slide's stated topic</t>
  </si>
  <si>
    <t>Each CTA navigates to a dedicated page matching its slide topic (e.g. Line Clearance -&gt; /line-clearance/, Track &amp; Trace -&gt; /track-trace/, Vision Inspection -&gt; /vision-inspection/, REESMART -&gt; /oee/)</t>
  </si>
  <si>
    <t>4 of 5 CTAs resolved correctly. The 'Product Digitization' banner's 'Read More' link also points to /oee/, the same URL used by the REESMART banner, instead of a dedicated Product Digitization page</t>
  </si>
  <si>
    <t>Fail</t>
  </si>
  <si>
    <t>Content/routing mismatch — Product Digitization CTA does not resolve to its own landing page; logged as BUG-HP-01</t>
  </si>
  <si>
    <t>TC_HP_04</t>
  </si>
  <si>
    <t>REQ-HP-04</t>
  </si>
  <si>
    <t>N/A</t>
  </si>
  <si>
    <t>1. Scroll to the 'Our Solutions' section
2. Verify all four cards — ReeView, REETRAK, ReeSmart, ReeSource — display a logo, tagline and a 'Learn More' link
3. Hover/click each 'Learn More' link</t>
  </si>
  <si>
    <t>All four solution cards display correct logo, tagline text and a functional 'Learn More' link that is clickable</t>
  </si>
  <si>
    <t>All four cards rendered correctly with functional links</t>
  </si>
  <si>
    <t>-</t>
  </si>
  <si>
    <t>TC_HP_05</t>
  </si>
  <si>
    <t>REQ-HP-05</t>
  </si>
  <si>
    <t>Homepage is loaded; About Us page is available for cross-check</t>
  </si>
  <si>
    <t>Homepage stats: 25+ Years, 10000+ Installations, 650+ Clients, 30+ Product Lines, 95+ Countries, 5+ Global Offices, 10+ Agents</t>
  </si>
  <si>
    <t>1. Scroll to 'Global Impact and Industry Leadership' section on the homepage and record all statistic values
2. Open /about-us/ and record the equivalent statistics
3. Compare both sets of figures</t>
  </si>
  <si>
    <t>Statistic values are consistent across every page that publishes them</t>
  </si>
  <si>
    <t>Homepage lists 650+ Clients Worldwide and 5+ Global Offices; About Us lists 600+ Clients Worldwide and 7+ Global Offices for the same company. Figures do not reconcile</t>
  </si>
  <si>
    <t>Content-governance issue rather than a functional break; logged as BUG-HP-02 (recommend a single source of truth for company statistics)</t>
  </si>
  <si>
    <t>TC_NAV_01</t>
  </si>
  <si>
    <t>REQ-NAV-01</t>
  </si>
  <si>
    <t>Navigation</t>
  </si>
  <si>
    <t>Homepage or any inner page is loaded</t>
  </si>
  <si>
    <t>1. Hover/click the 'Company' menu item in the primary navigation
2. Verify all 7 sub-links are listed: About Us, Legacy, Careers, Jekson USA, Corporate, Team, Events
3. Click each link and confirm it loads the correct page</t>
  </si>
  <si>
    <t>'Company' dropdown displays all 7 sub-links and each one navigates to its correct destination page without a 404</t>
  </si>
  <si>
    <t>All 7 sub-links present and each navigated to the expected page</t>
  </si>
  <si>
    <t>TC_NAV_02</t>
  </si>
  <si>
    <t>REQ-NAV-02</t>
  </si>
  <si>
    <t>1. Hover/click 'Products &amp; Solutions' in the primary navigation
2. Verify all 9 product links are listed: Track &amp; Trace, Vision Inspection, L4/L5 Solutions, Line Clearance, Vial Inspection, Checkweigher, WRW, BiSmart 2.0, BPO Smart
3. Click each link and confirm correct destination</t>
  </si>
  <si>
    <t>'Products &amp; Solutions' dropdown displays all 9 links and each resolves to its correct dedicated product page</t>
  </si>
  <si>
    <t>All 9 links present and correctly routed</t>
  </si>
  <si>
    <t>TC_NAV_03</t>
  </si>
  <si>
    <t>REQ-NAV-03</t>
  </si>
  <si>
    <t>Homepage, About Us and Contact Us pages are loaded</t>
  </si>
  <si>
    <t>Industries menu contents on Homepage vs. inner pages</t>
  </si>
  <si>
    <t>1. Open homepage, expand 'Industries' menu, record all listed items
2. Open /about-us/ and /contact-us/, expand 'Industries' menu on each, record all listed items
3. Compare the two lists</t>
  </si>
  <si>
    <t>The 'Industries' dropdown lists the same set of industries on every page of the site</t>
  </si>
  <si>
    <t>Homepage lists 7 industries including 'Bottle &amp; Container Inspection'; the same menu on /about-us/ and /contact-us/ lists only 6 industries, omitting 'Bottle &amp; Container Inspection'</t>
  </si>
  <si>
    <t>Menu is likely cached/rendered per-template and out of sync; logged as BUG-NAV-01</t>
  </si>
  <si>
    <t>TC_NAV_04</t>
  </si>
  <si>
    <t>REQ-NAV-04</t>
  </si>
  <si>
    <t>Any inner page (e.g. About Us) is loaded</t>
  </si>
  <si>
    <t>1. Navigate to an inner page, e.g. /about-us/
2. Click the Jekson Vision logo in the header
3. Verify the browser redirects to the homepage</t>
  </si>
  <si>
    <t>Clicking the header logo from any inner page returns the user to the homepage (https://jeksonvision.com/)</t>
  </si>
  <si>
    <t>Logo click redirected correctly to the homepage from every inner page tested</t>
  </si>
  <si>
    <t>TC_ABT_01</t>
  </si>
  <si>
    <t>REQ-ABT-01</t>
  </si>
  <si>
    <t>About Page</t>
  </si>
  <si>
    <t>URL: https://jeksonvision.com/about-us/</t>
  </si>
  <si>
    <t>1. Navigate to /about-us/
2. Verify the page loads with 'About Us' heading, Vision statement, Mission statement and 'What Sets Jekson Vision Apart' section</t>
  </si>
  <si>
    <t>About Us page loads completely with all listed content sections rendered, no missing images or broken layout</t>
  </si>
  <si>
    <t>Page loaded with all sections rendered correctly</t>
  </si>
  <si>
    <t>TC_ABT_02</t>
  </si>
  <si>
    <t>REQ-ABT-02</t>
  </si>
  <si>
    <t>About Us page is loaded</t>
  </si>
  <si>
    <t>300+ Team members, 25+ Years of Experience, 7+ Global Offices, 600+ Clients, 95+ Countries, 10+ Agents</t>
  </si>
  <si>
    <t>1. Scroll to 'Leading the Way in Inspection &amp; Traceability' stats section
2. Verify each counter renders a non-zero numeric value with a '+' suffix and a label</t>
  </si>
  <si>
    <t>All 6 statistic counters display correctly formatted, non-zero values with matching labels</t>
  </si>
  <si>
    <t>All counters rendered correctly on this page in isolation (see TC_HP_05 for a cross-page consistency defect)</t>
  </si>
  <si>
    <t>Cross-referenced with TC_HP_05 for the homepage/about-us data mismatch</t>
  </si>
  <si>
    <t>TC_ABT_03</t>
  </si>
  <si>
    <t>REQ-ABT-03</t>
  </si>
  <si>
    <t>In-body links: 'Jekson Vision', 'track &amp; trace systems and solutions', 'machine vision systems'</t>
  </si>
  <si>
    <t>1. Open /about-us/
2. Click each in-paragraph hyperlink embedded in the introductory text
3. Verify each resolves to its intended page</t>
  </si>
  <si>
    <t>In-body links route to homepage, /track-trace/ and /vision-inspection/ respectively without a 404</t>
  </si>
  <si>
    <t>All in-body content links resolved to the correct destination pages</t>
  </si>
  <si>
    <t>TC_PRD_01</t>
  </si>
  <si>
    <t>REQ-PRD-01</t>
  </si>
  <si>
    <t>Products/Solutions</t>
  </si>
  <si>
    <t>URL: https://jeksonvision.com/track-trace/</t>
  </si>
  <si>
    <t>1. Navigate to /track-trace/ directly and also via 'Products &amp; Solutions' menu
2. Verify page loads with product heading, description and imagery</t>
  </si>
  <si>
    <t>Track &amp; Trace page loads with correct heading, description of AI-driven serialization &amp; aggregation, and supporting imagery</t>
  </si>
  <si>
    <t>Page loaded correctly via both direct URL and navigation menu</t>
  </si>
  <si>
    <t>TC_PRD_02</t>
  </si>
  <si>
    <t>REQ-PRD-02</t>
  </si>
  <si>
    <t>URL: https://jeksonvision.com/vision-inspection/</t>
  </si>
  <si>
    <t>1. Navigate to /vision-inspection/ directly and also via 'Products &amp; Solutions' menu
2. Verify page loads with product heading, description and imagery</t>
  </si>
  <si>
    <t>Vision Inspection page loads with correct heading, description referencing AI-driven inspection and quality/compliance messaging</t>
  </si>
  <si>
    <t>TC_PRD_03</t>
  </si>
  <si>
    <t>REQ-PRD-03</t>
  </si>
  <si>
    <t>Homepage 'Our Solutions' section is visible</t>
  </si>
  <si>
    <t>ReeView -&gt; Vision Inspection, REETRAK -&gt; Track &amp; Trace, ReeSmart -&gt; OEE, ReeSource -&gt; L4/L5 Solutions</t>
  </si>
  <si>
    <t>1. Click 'Learn More' under each of the four solution cards
2. Verify each routes to the corresponding dedicated product page</t>
  </si>
  <si>
    <t>Each 'Learn More' link routes to the product page matching its card (ReeView -&gt; Vision Inspection, REETRAK -&gt; Track &amp; Trace, ReeSmart -&gt; OEE, ReeSource -&gt; L4/L5 Solutions)</t>
  </si>
  <si>
    <t>All four 'Learn More' links routed to the correct corresponding pages</t>
  </si>
  <si>
    <t>TC_PRD_04</t>
  </si>
  <si>
    <t>REQ-PRD-04</t>
  </si>
  <si>
    <t>ReeServ 'Learn More' link under the Service Level Agreement section</t>
  </si>
  <si>
    <t>1. Scroll to 'Best in Class Modular Service Level Agreement' section
2. Click 'Learn More'
3. Verify destination page</t>
  </si>
  <si>
    <t>'Learn More' under the ReeServ/SLA section routes to /service/, describing the global service and support programme</t>
  </si>
  <si>
    <t>Link correctly routed to /service/</t>
  </si>
  <si>
    <t>TC_CNT_01</t>
  </si>
  <si>
    <t>REQ-CNT-01</t>
  </si>
  <si>
    <t>Contact Page</t>
  </si>
  <si>
    <t>URL: https://jeksonvision.com/contact-us/</t>
  </si>
  <si>
    <t>1. Navigate to /contact-us/
2. Verify the page loads with the enquiry form and a 'Global Offices' section listing India (HQ), India (Development Centre), Italy, USA and Malta</t>
  </si>
  <si>
    <t>Contact Us page loads with the enquiry form and all 5 global office entries, each with an address, email and phone number</t>
  </si>
  <si>
    <t>Page loaded with all 5 office listings visible and correctly populated</t>
  </si>
  <si>
    <t>TC_CNT_02</t>
  </si>
  <si>
    <t>REQ-CNT-02</t>
  </si>
  <si>
    <t>Contact Us page is loaded</t>
  </si>
  <si>
    <t>Form fields: Full Name, Company Name, Designation, Department, Mobile, Work Email, City, Country, 'I am interested in' checkboxes, Comment</t>
  </si>
  <si>
    <t>1. Scroll to the enquiry form
2. Verify each field is present and mandatory fields are visually indicated
3. Verify the consent checkbox and Privacy Policy link are present</t>
  </si>
  <si>
    <t>All fields listed in the requirement are present, mandatory fields are marked, and the consent statement links correctly to the Privacy Policy page</t>
  </si>
  <si>
    <t>All fields and the consent checkbox were present; Privacy Policy link resolved correctly to /privacy-policy/</t>
  </si>
  <si>
    <t>TC_CNT_03</t>
  </si>
  <si>
    <t>REQ-CNT-03</t>
  </si>
  <si>
    <t>Contact Us page (or any page with a footer phone link) is loaded on a mobile device or emulator</t>
  </si>
  <si>
    <t>tel: links in header/footer, e.g. 'tel: +917861879554', 'tel:+91 98641 80190'</t>
  </si>
  <si>
    <t>1. Inspect the href attribute of each 'Call' icon/phone link in the footer and header widgets
2. Tap each link on a mobile device or emulator
3. Verify the native dialer opens pre-filled with the correct number</t>
  </si>
  <si>
    <t>Every tel: link follows valid URI syntax (tel:+&lt;countrycode&gt;&lt;number&gt;, no embedded spaces) and correctly opens the device dialer</t>
  </si>
  <si>
    <t>Several tel: links contain a space immediately after 'tel:' or inside the number string (e.g. 'tel: +917861879554'), which is invalid per RFC 3966 and can fail to launch the dialer correctly on some mobile browsers</t>
  </si>
  <si>
    <t>Logged as BUG-CNT-01; recommend stripping whitespace from all tel: hrefs sitewide</t>
  </si>
  <si>
    <t>TC_CNT_04</t>
  </si>
  <si>
    <t>REQ-CNT-04</t>
  </si>
  <si>
    <t>Contact Us or footer section is visible</t>
  </si>
  <si>
    <t>mailto:marketing@jeksonvision.com</t>
  </si>
  <si>
    <t>1. Click the email address link in the footer 'Solution Consultation' block
2. Verify the default mail client opens with the address pre-filled in the 'To' field</t>
  </si>
  <si>
    <t>Clicking the email link opens the default mail client with marketing@jeksonvision.com pre-filled</t>
  </si>
  <si>
    <t>Default mail client opened correctly with the address pre-filled</t>
  </si>
  <si>
    <t>TC_VAL_01</t>
  </si>
  <si>
    <t>REQ-VAL-01</t>
  </si>
  <si>
    <t>Contact Form Validation</t>
  </si>
  <si>
    <t>Contact Us page is loaded; all mandatory fields are known</t>
  </si>
  <si>
    <t>Full Name: Ramesh Patel; Company: Alpha Pharma Pvt Ltd; Work Email: ramesh.patel@alphapharma.co.in; Mobile: 9825012345; City: Ahmedabad; Country: India; Interest: Track &amp; Trace</t>
  </si>
  <si>
    <t>1. Fill all mandatory fields with valid data
2. Check the consent checkbox
3. Click 'Submit'
4. Observe confirmation behaviour</t>
  </si>
  <si>
    <t>Form submits successfully and displays a confirmation/thank-you message; a corresponding lead is created in the backend CRM</t>
  </si>
  <si>
    <t>Not executed — this test targets the production lead-generation form and, if run to completion, would create a real, non-actionable enquiry in Jekson Vision's live marketing CRM</t>
  </si>
  <si>
    <t>Blocked</t>
  </si>
  <si>
    <t>Recommend executing this case only against a staging/UAT instance of the site, or coordinating with the marketing team before running on production</t>
  </si>
  <si>
    <t>TC_VAL_02</t>
  </si>
  <si>
    <t>REQ-VAL-02</t>
  </si>
  <si>
    <t>All fields left blank</t>
  </si>
  <si>
    <t>1. Leave all mandatory fields empty
2. Check/uncheck consent checkbox as required
3. Click 'Submit' without entering any data</t>
  </si>
  <si>
    <t>Form blocks submission and displays inline validation messages against each empty mandatory field (Full Name, Work Email, Mobile, Country, consent)</t>
  </si>
  <si>
    <t>Submission was blocked and inline validation prompts were shown against empty mandatory fields</t>
  </si>
  <si>
    <t>Client-side validation checked only; final submission not performed</t>
  </si>
  <si>
    <t>TC_VAL_03</t>
  </si>
  <si>
    <t>REQ-VAL-03</t>
  </si>
  <si>
    <t>Invalid emails: 'ramesh@', 'ramesh.patel', 'ramesh@@alpha.com'</t>
  </si>
  <si>
    <t>1. Enter each malformed value into the 'Work Email' field
2. Move focus to the next field or attempt to submit
3. Observe validation response</t>
  </si>
  <si>
    <t>Field rejects all three malformed values and displays an 'invalid email format' message without allowing submission</t>
  </si>
  <si>
    <t>All three malformed values were rejected with an inline format-validation message</t>
  </si>
  <si>
    <t>Field-level validation only; submission not performed</t>
  </si>
  <si>
    <t>TC_VAL_04</t>
  </si>
  <si>
    <t>REQ-VAL-04</t>
  </si>
  <si>
    <t>Invalid mobile values: 'abcdefghij', '12', '98@50123#5'</t>
  </si>
  <si>
    <t>1. Enter each invalid value into the 'Mobile' field
2. Move focus away or attempt to submit
3. Observe validation response</t>
  </si>
  <si>
    <t>Field rejects non-numeric and out-of-range input, and shows a validation message describing the expected format</t>
  </si>
  <si>
    <t>Non-numeric and special-character input was rejected; short numeric input (2 digits) was also rejected as expected</t>
  </si>
  <si>
    <t>TC_VAL_05</t>
  </si>
  <si>
    <t>REQ-VAL-05</t>
  </si>
  <si>
    <t>Hidden anti-spam field labelled 'Please leave this field empty'</t>
  </si>
  <si>
    <t>1. Inspect the rendered form visually as an end user
2. Confirm the honeypot field is not visible or interactable in the rendered UI
3. Inspect page source/DOM to confirm the field exists but is CSS-hidden</t>
  </si>
  <si>
    <t>The honeypot field is present in the DOM for bot detection but is not visible or reachable by a real user interacting with the page</t>
  </si>
  <si>
    <t>Field is hidden from the rendered UI via CSS as expected; only detectable through DOM/text-extraction inspection</t>
  </si>
  <si>
    <t>Standard anti-spam pattern; no action required</t>
  </si>
  <si>
    <t>TC_FTR_01</t>
  </si>
  <si>
    <t>REQ-FTR-01</t>
  </si>
  <si>
    <t>Footer Links</t>
  </si>
  <si>
    <t>Any page with the global footer is loaded</t>
  </si>
  <si>
    <t>Useful Links: Blogs, Careers, Privacy Policy, FAQs</t>
  </si>
  <si>
    <t>1. Scroll to the footer 'Useful Links' block
2. Click each of the 4 links in turn
3. Verify each navigates to its correct destination page</t>
  </si>
  <si>
    <t>All 4 footer links navigate to their correct pages (/blogs/, /careers/, /privacy-policy/, /faq-track-trace/) without a 404</t>
  </si>
  <si>
    <t>All 4 links resolved to their correct destination pages</t>
  </si>
  <si>
    <t>TC_FTR_02</t>
  </si>
  <si>
    <t>REQ-FTR-02</t>
  </si>
  <si>
    <t>Social icons: LinkedIn, Instagram, X, Facebook, YouTube</t>
  </si>
  <si>
    <t>1. Click each social media icon in the footer
2. Verify each opens the correct external profile
3. Verify each opens in a new browser tab</t>
  </si>
  <si>
    <t>Each icon opens the corresponding official Jekson Vision profile (LinkedIn, Instagram, X, Facebook, YouTube) in a new tab, leaving the site open in the original tab</t>
  </si>
  <si>
    <t>All 5 icons opened their correct respective profiles in a new tab</t>
  </si>
  <si>
    <t>TC_FTR_03</t>
  </si>
  <si>
    <t>REQ-FTR-03</t>
  </si>
  <si>
    <t>Floating WhatsApp icon (wa.me link) vs. footer '24x7 Service Support' WhatsApp contact</t>
  </si>
  <si>
    <t>1. Note the phone number shown under '24x7 Service Support' in the footer (WhatsApp icon)
2. Click the floating WhatsApp icon at the bottom of the page
3. Compare the number the chat opens with against the footer-listed number</t>
  </si>
  <si>
    <t>The floating WhatsApp icon opens a chat with the same number advertised as the WhatsApp/24x7 Service Support contact in the footer</t>
  </si>
  <si>
    <t>Floating icon opens a chat to +91 63525 29570, while the footer's '24x7 Service Support' WhatsApp contact displays +91 93741 68622 — two different numbers presented as WhatsApp contact channels</t>
  </si>
  <si>
    <t>Logged as BUG-FTR-01; likely to cause customer confusion over which number is the correct support channel</t>
  </si>
  <si>
    <t>TC_RES_01</t>
  </si>
  <si>
    <t>REQ-RES-01</t>
  </si>
  <si>
    <t>Responsive Design</t>
  </si>
  <si>
    <t>Browser DevTools device emulation available, or physical mobile device</t>
  </si>
  <si>
    <t>Viewport: 375 x 667 (mobile), 768 x 1024 (tablet)</t>
  </si>
  <si>
    <t>1. Load homepage
2. Switch to a 375x667 mobile viewport using DevTools
3. Verify layout reflows without horizontal scroll, overlapping text or clipped images</t>
  </si>
  <si>
    <t>Homepage reflows into a single-column mobile layout, all sections remain readable and no horizontal scrollbar appears</t>
  </si>
  <si>
    <t>Layout reflowed correctly at 375x667 with no horizontal scroll or overlapping content observed</t>
  </si>
  <si>
    <t>TC_RES_02</t>
  </si>
  <si>
    <t>REQ-RES-02</t>
  </si>
  <si>
    <t>Mobile/tablet viewport active</t>
  </si>
  <si>
    <t>Viewport: 375 x 667</t>
  </si>
  <si>
    <t>1. Load homepage at mobile viewport width
2. Verify the primary navigation collapses into a hamburger/menu icon
3. Tap the icon and verify the full menu (Company, Products &amp; Solutions, Industries, Knowledge Base, Contact Us) is accessible</t>
  </si>
  <si>
    <t>Navigation collapses into a hamburger icon on mobile widths and expands to show all menu items when tapped</t>
  </si>
  <si>
    <t>Hamburger menu appeared and expanded to reveal the complete navigation on tap</t>
  </si>
  <si>
    <t>TC_RES_03</t>
  </si>
  <si>
    <t>REQ-RES-03</t>
  </si>
  <si>
    <t>Homepage source confirms dedicated mobile image assets (e.g. 'Mobile-view-1.jpg', 'Mobile-Banner-2-1.jpeg')</t>
  </si>
  <si>
    <t>Viewport below 768px width</t>
  </si>
  <si>
    <t>1. Load homepage at a viewport below 768px
2. Inspect the hero banner image source
3. Confirm the mobile-optimized image variant is served instead of the desktop version</t>
  </si>
  <si>
    <t>Below the 768px breakpoint, the hero banner swaps to its mobile-optimized image asset rather than scaling down the full desktop image</t>
  </si>
  <si>
    <t>Mobile-specific image assets were served correctly below the breakpoint, matching the dedicated mobile image files present in the page markup</t>
  </si>
  <si>
    <t>TC_CBT_01</t>
  </si>
  <si>
    <t>REQ-CBT-01</t>
  </si>
  <si>
    <t>Cross-browser Testing</t>
  </si>
  <si>
    <t>Chrome, Firefox and Edge (latest stable) installed</t>
  </si>
  <si>
    <t>1. Open homepage in Chrome, Firefox and Edge in turn
2. Compare layout, fonts, spacing and interactive elements across all three
3. Note any rendering differences</t>
  </si>
  <si>
    <t>Homepage renders visually and functionally consistent across Chrome, Firefox and Edge, with no browser-specific layout breakage</t>
  </si>
  <si>
    <t>Layout, fonts and interactive elements were consistent across all three browsers tested</t>
  </si>
  <si>
    <t>TC_CBT_02</t>
  </si>
  <si>
    <t>REQ-CBT-02</t>
  </si>
  <si>
    <t>macOS device with Safari installed</t>
  </si>
  <si>
    <t>Contact form valid/invalid field data</t>
  </si>
  <si>
    <t>1. Open Contact Us page in Safari on macOS
2. Repeat field-level validation checks from TC_VAL_02 to TC_VAL_04
3. Compare behaviour against Chrome results</t>
  </si>
  <si>
    <t>Contact form validation behaves identically in Safari to its behaviour in Chrome, Firefox and Edge</t>
  </si>
  <si>
    <t>Not executed — no macOS/Safari test environment was available during this test cycle</t>
  </si>
  <si>
    <t>Recommend inclusion in the next execution cycle once a macOS/Safari environment is available</t>
  </si>
  <si>
    <t>TC_UI_01</t>
  </si>
  <si>
    <t>REQ-UI-01</t>
  </si>
  <si>
    <t>UI Testing</t>
  </si>
  <si>
    <t>Homepage is loaded on a desktop viewport (&gt;=1366px)</t>
  </si>
  <si>
    <t>1. Scroll to 'Our Solutions' card grid
2. Visually inspect card alignment, spacing and sizing consistency across all four cards</t>
  </si>
  <si>
    <t>All four solution cards are equally sized, evenly spaced and aligned to a consistent grid with no overlap or misalignment</t>
  </si>
  <si>
    <t>Cards were evenly spaced and aligned with consistent sizing across the grid</t>
  </si>
  <si>
    <t>TC_UI_02</t>
  </si>
  <si>
    <t>REQ-UI-02</t>
  </si>
  <si>
    <t>Homepage hero banner is loaded</t>
  </si>
  <si>
    <t>1. Load homepage
2. Visually inspect the white headline/CTA text overlaid on each hero banner background image
3. Assess text readability/contrast against the background image</t>
  </si>
  <si>
    <t>White overlay text maintains sufficient contrast against every hero banner background image for comfortable readability (WCAG AA guideline, contrast ratio &gt;= 4.5:1 for body text)</t>
  </si>
  <si>
    <t>Text remained legible on 4 of 5 banners; the 'Product Digitization' banner's lighter background image reduced contrast for the white CTA button label in the top-left corner</t>
  </si>
  <si>
    <t>Minor contrast issue on one banner; logged as BUG-UI-01, low business impact</t>
  </si>
  <si>
    <t>TC_NEG_01</t>
  </si>
  <si>
    <t>REQ-NEG-01</t>
  </si>
  <si>
    <t>Negative Testing</t>
  </si>
  <si>
    <t>Comment field payload: &lt;script&gt;alert('xss')&lt;/script&gt;</t>
  </si>
  <si>
    <t>1. Enter a script-tag payload into the 'Comment' field
2. Attempt to submit the form
3. Observe whether the payload is sanitized/rejected or would be stored/reflected as-is</t>
  </si>
  <si>
    <t>Input is sanitized or safely escaped by the form handler; no script executes and no unsanitized payload is stored or reflected</t>
  </si>
  <si>
    <t>Not executed — submitting this payload would post directly into the production contact/CRM pipeline; deferred to avoid injecting test data into a live business system</t>
  </si>
  <si>
    <t>Recommend executing this case against a staging environment, or coordinating directly with the site's development team for a controlled test</t>
  </si>
  <si>
    <t>TC_BRK_01</t>
  </si>
  <si>
    <t>REQ-BRK-01</t>
  </si>
  <si>
    <t>Broken Links</t>
  </si>
  <si>
    <t>Homepage is loaded; browser DevTools Console tab open</t>
  </si>
  <si>
    <t>Track &amp; Trace product listing 'Download Brochure' buttons</t>
  </si>
  <si>
    <t>1. Load homepage
2. Locate a 'Download Brochure' button/link on the Track &amp; Trace product listing
3. Click the button and observe behaviour
4. Cross-check DevTools console for related script errors</t>
  </si>
  <si>
    <t>Clicking 'Download Brochure' opens the brochure request form and, on submission, delivers or emails the brochure PDF</t>
  </si>
  <si>
    <t>Button does not respond to clicks (href="javascript:void(0);"). Console confirms 'Uncaught ReferenceError: downloadBrochureLinks is not defined', which is the root cause — the click handler never binds because the function it depends on is missing from the page</t>
  </si>
  <si>
    <t>Confirmed defect, previously root-caused via a dedicated JS console audit; logged as BUG-BRK-01 (High — breaks a primary lead-generation pathway sitewide)</t>
  </si>
  <si>
    <t>TC_BRK_02</t>
  </si>
  <si>
    <t>REQ-BRK-02</t>
  </si>
  <si>
    <t>Homepage is loaded; browser DevTools Network/Console tab open</t>
  </si>
  <si>
    <t>Above-the-fold assets: Jekson-Vision-Logo.png, hero banner image</t>
  </si>
  <si>
    <t>1. Load homepage with DevTools Network tab open
2. Refresh the page
3. Inspect the HTTP status code returned for the logo and hero banner image requests</t>
  </si>
  <si>
    <t>Logo and hero banner images return HTTP 200 and render correctly on first page load</t>
  </si>
  <si>
    <t>Both the logo and hero banner image requests intermittently return HTTP 429 (Too Many Requests), resulting in broken/missing branding imagery on initial load</t>
  </si>
  <si>
    <t>Server-side rate-limiting/WAF issue rather than a front-end defect; logged as BUG-BRK-02 (High — affects first impression/brand trust)</t>
  </si>
  <si>
    <t>TC_ACC_01</t>
  </si>
  <si>
    <t>REQ-ACC-01</t>
  </si>
  <si>
    <t>Accessibility Checks</t>
  </si>
  <si>
    <t>Homepage and footer are loaded</t>
  </si>
  <si>
    <t>alt attributes on content images and footer icons</t>
  </si>
  <si>
    <t>1. Inspect alt text on hero banner and content images
2. Inspect alt text on footer contact icons (Call, WhatsApp, Email)
3. Verify each alt attribute accurately describes its icon/image</t>
  </si>
  <si>
    <t>Every image and icon carries a descriptive, accurate alt attribute suitable for screen-reader users</t>
  </si>
  <si>
    <t>Most content images carry descriptive alt text; however, the footer WhatsApp contact icon reuses the alt text 'Phone Icon' (shared with the actual phone-call icon), reducing clarity for screen-reader users</t>
  </si>
  <si>
    <t>Minor accessibility defect; logged as BUG-ACC-01, recommend distinct alt text per icon</t>
  </si>
  <si>
    <t>TC_PERF_01</t>
  </si>
  <si>
    <t>REQ-PERF-01</t>
  </si>
  <si>
    <t>Performance Observations</t>
  </si>
  <si>
    <t>Browser DevTools Console tab open</t>
  </si>
  <si>
    <t>Homepage initial load</t>
  </si>
  <si>
    <t>1. Open DevTools Console tab
2. Load/refresh the homepage
3. Record all errors, warnings and informational messages logged during load</t>
  </si>
  <si>
    <t>Console remains free of uncaught JavaScript errors on homepage load, with warning volume within a reasonable range for a production WordPress site</t>
  </si>
  <si>
    <t>Console logged 1 uncaught ReferenceError, 2 HTTP 429 resource failures, and additional uncaught TypeErrors from null DOM references, alongside 100+ warnings and informational messages flagged in the Issues panel</t>
  </si>
  <si>
    <t>Automated (Playwright + console listener)</t>
  </si>
  <si>
    <t>Cross-referenced with a dedicated JS Console Error Audit; logged as BUG-PERF-01 (High — active script errors affect functional reliability, not just code hygiene)</t>
  </si>
  <si>
    <t>PRACTICAL 1 — TEST EXECUTION SUMMARY</t>
  </si>
  <si>
    <t>Application:</t>
  </si>
  <si>
    <t>jeksonvision.com</t>
  </si>
  <si>
    <t>Total Test Cases:</t>
  </si>
  <si>
    <t>Count</t>
  </si>
  <si>
    <t>% of Total</t>
  </si>
  <si>
    <t>Not Executed</t>
  </si>
  <si>
    <t>Pass Rate (of Executed)</t>
  </si>
  <si>
    <t>Total</t>
  </si>
  <si>
    <t xml:space="preserve">Abhishek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</si>
</sst>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x14ac:knownFonts="1">
    <font>
      <sz val="11"/>
      <color theme="1"/>
      <name val="Calibri"/>
      <family val="2"/>
      <charset val="1"/>
    </font>
    <font>
      <b/>
      <sz val="16"/>
      <color rgb="FFFFFFFF"/>
      <name val="Times New Roman"/>
      <charset val="1"/>
    </font>
    <font>
      <sz val="11"/>
      <color rgb="FFFFFFFF"/>
      <name val="Times New Roman"/>
      <charset val="1"/>
    </font>
    <font>
      <b/>
      <sz val="10"/>
      <color rgb="FF1F3864"/>
      <name val="Times New Roman"/>
      <charset val="1"/>
    </font>
    <font>
      <sz val="10"/>
      <color rgb="FF000000"/>
      <name val="Times New Roman"/>
      <charset val="1"/>
    </font>
    <font>
      <b/>
      <sz val="10"/>
      <color rgb="FFFFFFFF"/>
      <name val="Times New Roman"/>
      <charset val="1"/>
    </font>
    <font>
      <sz val="9"/>
      <color rgb="FF000000"/>
      <name val="Times New Roman"/>
      <charset val="1"/>
    </font>
    <font>
      <b/>
      <sz val="9"/>
      <name val="Times New Roman"/>
      <charset val="1"/>
    </font>
    <font>
      <b/>
      <sz val="14"/>
      <color rgb="FFFFFFFF"/>
      <name val="Times New Roman"/>
      <charset val="1"/>
    </font>
    <font>
      <b/>
      <sz val="10"/>
      <name val="Times New Roman"/>
      <charset val="1"/>
    </font>
  </fonts>
  <fills count="9">
    <fill>
      <patternFill patternType="none"/>
    </fill>
    <fill>
      <patternFill patternType="gray125"/>
    </fill>
    <fill>
      <patternFill patternType="solid">
        <fgColor rgb="FF1F3864"/>
        <bgColor rgb="FF333333"/>
      </patternFill>
    </fill>
    <fill>
      <patternFill patternType="solid">
        <fgColor rgb="FFD9E2F3"/>
        <bgColor rgb="FFF2F2F2"/>
      </patternFill>
    </fill>
    <fill>
      <patternFill patternType="solid">
        <fgColor rgb="FFC6EFCE"/>
        <bgColor rgb="FFD9E2F3"/>
      </patternFill>
    </fill>
    <fill>
      <patternFill patternType="solid">
        <fgColor rgb="FFF2F2F2"/>
        <bgColor rgb="FFFFFFFF"/>
      </patternFill>
    </fill>
    <fill>
      <patternFill patternType="solid">
        <fgColor rgb="FFFFC7CE"/>
        <bgColor rgb="FFD9E2F3"/>
      </patternFill>
    </fill>
    <fill>
      <patternFill patternType="solid">
        <fgColor rgb="FFFFEB9C"/>
        <bgColor rgb="FFF2F2F2"/>
      </patternFill>
    </fill>
    <fill>
      <patternFill patternType="solid">
        <fgColor rgb="FFFFFFFF"/>
        <bgColor rgb="FFF2F2F2"/>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5">
    <xf numFmtId="0" fontId="0" fillId="0" borderId="0" xfId="0"/>
    <xf numFmtId="0" fontId="8" fillId="2" borderId="0" xfId="0" applyFont="1" applyFill="1" applyAlignment="1">
      <alignment horizontal="center" vertical="center"/>
    </xf>
    <xf numFmtId="0" fontId="4" fillId="3" borderId="0" xfId="0" applyFont="1" applyFill="1" applyAlignment="1">
      <alignment horizontal="left" vertical="center" wrapText="1" indent="1"/>
    </xf>
    <xf numFmtId="0" fontId="3" fillId="3" borderId="0" xfId="0" applyFont="1" applyFill="1" applyAlignment="1">
      <alignment horizontal="left" vertical="center" indent="1"/>
    </xf>
    <xf numFmtId="0" fontId="2" fillId="2" borderId="0" xfId="0" applyFont="1" applyFill="1" applyAlignment="1">
      <alignment horizontal="center" vertical="center"/>
    </xf>
    <xf numFmtId="0" fontId="1" fillId="2" borderId="0" xfId="0" applyFont="1" applyFill="1" applyAlignment="1">
      <alignment horizontal="center" vertical="center"/>
    </xf>
    <xf numFmtId="0" fontId="5"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top" wrapText="1"/>
    </xf>
    <xf numFmtId="0" fontId="7" fillId="4" borderId="1" xfId="0" applyFont="1" applyFill="1" applyBorder="1" applyAlignment="1">
      <alignment horizontal="center" vertical="center" wrapText="1"/>
    </xf>
    <xf numFmtId="0" fontId="6" fillId="5" borderId="1" xfId="0" applyFont="1" applyFill="1" applyBorder="1" applyAlignment="1">
      <alignment horizontal="center" vertical="center" wrapText="1"/>
    </xf>
    <xf numFmtId="0" fontId="6" fillId="5" borderId="1" xfId="0" applyFont="1" applyFill="1" applyBorder="1" applyAlignment="1">
      <alignment horizontal="left" vertical="top" wrapText="1"/>
    </xf>
    <xf numFmtId="0" fontId="7" fillId="6" borderId="1" xfId="0" applyFont="1" applyFill="1" applyBorder="1" applyAlignment="1">
      <alignment horizontal="center" vertical="center" wrapText="1"/>
    </xf>
    <xf numFmtId="0" fontId="7" fillId="7" borderId="1" xfId="0" applyFont="1" applyFill="1" applyBorder="1" applyAlignment="1">
      <alignment horizontal="center" vertical="center" wrapText="1"/>
    </xf>
    <xf numFmtId="0" fontId="3" fillId="0" borderId="0" xfId="0" applyFont="1"/>
    <xf numFmtId="0" fontId="4" fillId="0" borderId="0" xfId="0" applyFont="1"/>
    <xf numFmtId="0" fontId="5" fillId="2"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0" borderId="1" xfId="0" applyFont="1" applyBorder="1" applyAlignment="1">
      <alignment horizontal="center" vertical="center"/>
    </xf>
    <xf numFmtId="164" fontId="4" fillId="0" borderId="1" xfId="0" applyNumberFormat="1" applyFont="1" applyBorder="1" applyAlignment="1">
      <alignment horizontal="center" vertical="center"/>
    </xf>
    <xf numFmtId="0" fontId="4" fillId="6"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8" borderId="1" xfId="0" applyFont="1" applyFill="1" applyBorder="1" applyAlignment="1">
      <alignment horizontal="center" vertical="center"/>
    </xf>
    <xf numFmtId="164" fontId="9" fillId="0" borderId="0" xfId="0" applyNumberFormat="1" applyFont="1"/>
    <xf numFmtId="0" fontId="4" fillId="0" borderId="1" xfId="0" applyFont="1" applyBorder="1" applyAlignment="1">
      <alignment horizontal="left" vertical="center" inden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D9E2F3"/>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0"/>
  <sheetViews>
    <sheetView showGridLines="0" tabSelected="1" zoomScaleNormal="100" workbookViewId="0">
      <pane xSplit="3" ySplit="10" topLeftCell="D11" activePane="bottomRight" state="frozen"/>
      <selection pane="topRight" activeCell="D1" sqref="D1"/>
      <selection pane="bottomLeft" activeCell="A11" sqref="A11"/>
      <selection pane="bottomRight" activeCell="D5" sqref="D5:M5"/>
    </sheetView>
  </sheetViews>
  <sheetFormatPr defaultColWidth="8.6328125" defaultRowHeight="14.5" x14ac:dyDescent="0.35"/>
  <cols>
    <col min="1" max="1" width="12" customWidth="1"/>
    <col min="2" max="2" width="13" customWidth="1"/>
    <col min="3" max="3" width="18" customWidth="1"/>
    <col min="4" max="5" width="10" customWidth="1"/>
    <col min="6" max="6" width="26" customWidth="1"/>
    <col min="7" max="7" width="24" customWidth="1"/>
    <col min="8" max="8" width="34" customWidth="1"/>
    <col min="9" max="9" width="32" customWidth="1"/>
    <col min="10" max="10" width="34" customWidth="1"/>
    <col min="11" max="11" width="10" customWidth="1"/>
    <col min="12" max="12" width="20" customWidth="1"/>
    <col min="13" max="13" width="30" customWidth="1"/>
  </cols>
  <sheetData>
    <row r="1" spans="1:13" ht="25.5" customHeight="1" x14ac:dyDescent="0.35">
      <c r="A1" s="5" t="s">
        <v>0</v>
      </c>
      <c r="B1" s="5"/>
      <c r="C1" s="5"/>
      <c r="D1" s="5"/>
      <c r="E1" s="5"/>
      <c r="F1" s="5"/>
      <c r="G1" s="5"/>
      <c r="H1" s="5"/>
      <c r="I1" s="5"/>
      <c r="J1" s="5"/>
      <c r="K1" s="5"/>
      <c r="L1" s="5"/>
      <c r="M1" s="5"/>
    </row>
    <row r="2" spans="1:13" ht="18" customHeight="1" x14ac:dyDescent="0.35">
      <c r="A2" s="4" t="s">
        <v>1</v>
      </c>
      <c r="B2" s="4"/>
      <c r="C2" s="4"/>
      <c r="D2" s="4"/>
      <c r="E2" s="4"/>
      <c r="F2" s="4"/>
      <c r="G2" s="4"/>
      <c r="H2" s="4"/>
      <c r="I2" s="4"/>
      <c r="J2" s="4"/>
      <c r="K2" s="4"/>
      <c r="L2" s="4"/>
      <c r="M2" s="4"/>
    </row>
    <row r="3" spans="1:13" ht="15.75" customHeight="1" x14ac:dyDescent="0.35">
      <c r="A3" s="3" t="s">
        <v>2</v>
      </c>
      <c r="B3" s="3"/>
      <c r="C3" s="3"/>
      <c r="D3" s="2" t="s">
        <v>3</v>
      </c>
      <c r="E3" s="2"/>
      <c r="F3" s="2"/>
      <c r="G3" s="2"/>
      <c r="H3" s="2"/>
      <c r="I3" s="2"/>
      <c r="J3" s="2"/>
      <c r="K3" s="2"/>
      <c r="L3" s="2"/>
      <c r="M3" s="2"/>
    </row>
    <row r="4" spans="1:13" ht="15.75" customHeight="1" x14ac:dyDescent="0.35">
      <c r="A4" s="3" t="s">
        <v>4</v>
      </c>
      <c r="B4" s="3"/>
      <c r="C4" s="3"/>
      <c r="D4" s="2" t="s">
        <v>5</v>
      </c>
      <c r="E4" s="2"/>
      <c r="F4" s="2"/>
      <c r="G4" s="2"/>
      <c r="H4" s="2"/>
      <c r="I4" s="2"/>
      <c r="J4" s="2"/>
      <c r="K4" s="2"/>
      <c r="L4" s="2"/>
      <c r="M4" s="2"/>
    </row>
    <row r="5" spans="1:13" ht="15.75" customHeight="1" x14ac:dyDescent="0.35">
      <c r="A5" s="3" t="s">
        <v>6</v>
      </c>
      <c r="B5" s="3"/>
      <c r="C5" s="3"/>
      <c r="D5" s="2" t="s">
        <v>336</v>
      </c>
      <c r="E5" s="2"/>
      <c r="F5" s="2"/>
      <c r="G5" s="2"/>
      <c r="H5" s="2"/>
      <c r="I5" s="2"/>
      <c r="J5" s="2"/>
      <c r="K5" s="2"/>
      <c r="L5" s="2"/>
      <c r="M5" s="2"/>
    </row>
    <row r="6" spans="1:13" ht="15.75" customHeight="1" x14ac:dyDescent="0.35">
      <c r="A6" s="3" t="s">
        <v>7</v>
      </c>
      <c r="B6" s="3"/>
      <c r="C6" s="3"/>
      <c r="D6" s="2" t="s">
        <v>8</v>
      </c>
      <c r="E6" s="2"/>
      <c r="F6" s="2"/>
      <c r="G6" s="2"/>
      <c r="H6" s="2"/>
      <c r="I6" s="2"/>
      <c r="J6" s="2"/>
      <c r="K6" s="2"/>
      <c r="L6" s="2"/>
      <c r="M6" s="2"/>
    </row>
    <row r="7" spans="1:13" ht="15.75" customHeight="1" x14ac:dyDescent="0.35">
      <c r="A7" s="3" t="s">
        <v>9</v>
      </c>
      <c r="B7" s="3"/>
      <c r="C7" s="3"/>
      <c r="D7" s="2" t="s">
        <v>10</v>
      </c>
      <c r="E7" s="2"/>
      <c r="F7" s="2"/>
      <c r="G7" s="2"/>
      <c r="H7" s="2"/>
      <c r="I7" s="2"/>
      <c r="J7" s="2"/>
      <c r="K7" s="2"/>
      <c r="L7" s="2"/>
      <c r="M7" s="2"/>
    </row>
    <row r="8" spans="1:13" ht="15.75" customHeight="1" x14ac:dyDescent="0.35">
      <c r="A8" s="3" t="s">
        <v>11</v>
      </c>
      <c r="B8" s="3"/>
      <c r="C8" s="3"/>
      <c r="D8" s="2" t="s">
        <v>12</v>
      </c>
      <c r="E8" s="2"/>
      <c r="F8" s="2"/>
      <c r="G8" s="2"/>
      <c r="H8" s="2"/>
      <c r="I8" s="2"/>
      <c r="J8" s="2"/>
      <c r="K8" s="2"/>
      <c r="L8" s="2"/>
      <c r="M8" s="2"/>
    </row>
    <row r="10" spans="1:13" ht="24" customHeight="1" x14ac:dyDescent="0.35">
      <c r="A10" s="6" t="s">
        <v>13</v>
      </c>
      <c r="B10" s="6" t="s">
        <v>14</v>
      </c>
      <c r="C10" s="6" t="s">
        <v>15</v>
      </c>
      <c r="D10" s="6" t="s">
        <v>16</v>
      </c>
      <c r="E10" s="6" t="s">
        <v>17</v>
      </c>
      <c r="F10" s="6" t="s">
        <v>18</v>
      </c>
      <c r="G10" s="6" t="s">
        <v>19</v>
      </c>
      <c r="H10" s="6" t="s">
        <v>20</v>
      </c>
      <c r="I10" s="6" t="s">
        <v>21</v>
      </c>
      <c r="J10" s="6" t="s">
        <v>22</v>
      </c>
      <c r="K10" s="6" t="s">
        <v>23</v>
      </c>
      <c r="L10" s="6" t="s">
        <v>24</v>
      </c>
      <c r="M10" s="6" t="s">
        <v>25</v>
      </c>
    </row>
    <row r="11" spans="1:13" ht="78" customHeight="1" x14ac:dyDescent="0.35">
      <c r="A11" s="7" t="s">
        <v>26</v>
      </c>
      <c r="B11" s="7" t="s">
        <v>27</v>
      </c>
      <c r="C11" s="7" t="s">
        <v>28</v>
      </c>
      <c r="D11" s="7" t="s">
        <v>29</v>
      </c>
      <c r="E11" s="7" t="s">
        <v>30</v>
      </c>
      <c r="F11" s="8" t="s">
        <v>31</v>
      </c>
      <c r="G11" s="8" t="s">
        <v>32</v>
      </c>
      <c r="H11" s="8" t="s">
        <v>33</v>
      </c>
      <c r="I11" s="8" t="s">
        <v>34</v>
      </c>
      <c r="J11" s="8" t="s">
        <v>35</v>
      </c>
      <c r="K11" s="9" t="s">
        <v>36</v>
      </c>
      <c r="L11" s="7" t="s">
        <v>37</v>
      </c>
      <c r="M11" s="8" t="s">
        <v>38</v>
      </c>
    </row>
    <row r="12" spans="1:13" ht="78" customHeight="1" x14ac:dyDescent="0.35">
      <c r="A12" s="10" t="s">
        <v>39</v>
      </c>
      <c r="B12" s="10" t="s">
        <v>40</v>
      </c>
      <c r="C12" s="10" t="s">
        <v>28</v>
      </c>
      <c r="D12" s="10" t="s">
        <v>30</v>
      </c>
      <c r="E12" s="10" t="s">
        <v>41</v>
      </c>
      <c r="F12" s="11" t="s">
        <v>42</v>
      </c>
      <c r="G12" s="11" t="s">
        <v>43</v>
      </c>
      <c r="H12" s="11" t="s">
        <v>44</v>
      </c>
      <c r="I12" s="11" t="s">
        <v>45</v>
      </c>
      <c r="J12" s="11" t="s">
        <v>46</v>
      </c>
      <c r="K12" s="9" t="s">
        <v>36</v>
      </c>
      <c r="L12" s="10" t="s">
        <v>47</v>
      </c>
      <c r="M12" s="11" t="s">
        <v>48</v>
      </c>
    </row>
    <row r="13" spans="1:13" ht="78" customHeight="1" x14ac:dyDescent="0.35">
      <c r="A13" s="7" t="s">
        <v>49</v>
      </c>
      <c r="B13" s="7" t="s">
        <v>50</v>
      </c>
      <c r="C13" s="7" t="s">
        <v>28</v>
      </c>
      <c r="D13" s="7" t="s">
        <v>29</v>
      </c>
      <c r="E13" s="7" t="s">
        <v>30</v>
      </c>
      <c r="F13" s="8" t="s">
        <v>51</v>
      </c>
      <c r="G13" s="8" t="s">
        <v>52</v>
      </c>
      <c r="H13" s="8" t="s">
        <v>53</v>
      </c>
      <c r="I13" s="8" t="s">
        <v>54</v>
      </c>
      <c r="J13" s="8" t="s">
        <v>55</v>
      </c>
      <c r="K13" s="12" t="s">
        <v>56</v>
      </c>
      <c r="L13" s="7" t="s">
        <v>37</v>
      </c>
      <c r="M13" s="8" t="s">
        <v>57</v>
      </c>
    </row>
    <row r="14" spans="1:13" ht="78" customHeight="1" x14ac:dyDescent="0.35">
      <c r="A14" s="10" t="s">
        <v>58</v>
      </c>
      <c r="B14" s="10" t="s">
        <v>59</v>
      </c>
      <c r="C14" s="10" t="s">
        <v>28</v>
      </c>
      <c r="D14" s="10" t="s">
        <v>30</v>
      </c>
      <c r="E14" s="10" t="s">
        <v>41</v>
      </c>
      <c r="F14" s="11" t="s">
        <v>51</v>
      </c>
      <c r="G14" s="11" t="s">
        <v>60</v>
      </c>
      <c r="H14" s="11" t="s">
        <v>61</v>
      </c>
      <c r="I14" s="11" t="s">
        <v>62</v>
      </c>
      <c r="J14" s="11" t="s">
        <v>63</v>
      </c>
      <c r="K14" s="9" t="s">
        <v>36</v>
      </c>
      <c r="L14" s="10" t="s">
        <v>37</v>
      </c>
      <c r="M14" s="11" t="s">
        <v>64</v>
      </c>
    </row>
    <row r="15" spans="1:13" ht="78" customHeight="1" x14ac:dyDescent="0.35">
      <c r="A15" s="7" t="s">
        <v>65</v>
      </c>
      <c r="B15" s="7" t="s">
        <v>66</v>
      </c>
      <c r="C15" s="7" t="s">
        <v>28</v>
      </c>
      <c r="D15" s="7" t="s">
        <v>41</v>
      </c>
      <c r="E15" s="7" t="s">
        <v>41</v>
      </c>
      <c r="F15" s="8" t="s">
        <v>67</v>
      </c>
      <c r="G15" s="8" t="s">
        <v>68</v>
      </c>
      <c r="H15" s="8" t="s">
        <v>69</v>
      </c>
      <c r="I15" s="8" t="s">
        <v>70</v>
      </c>
      <c r="J15" s="8" t="s">
        <v>71</v>
      </c>
      <c r="K15" s="12" t="s">
        <v>56</v>
      </c>
      <c r="L15" s="7" t="s">
        <v>47</v>
      </c>
      <c r="M15" s="8" t="s">
        <v>72</v>
      </c>
    </row>
    <row r="16" spans="1:13" ht="78" customHeight="1" x14ac:dyDescent="0.35">
      <c r="A16" s="10" t="s">
        <v>73</v>
      </c>
      <c r="B16" s="10" t="s">
        <v>74</v>
      </c>
      <c r="C16" s="10" t="s">
        <v>75</v>
      </c>
      <c r="D16" s="10" t="s">
        <v>29</v>
      </c>
      <c r="E16" s="10" t="s">
        <v>30</v>
      </c>
      <c r="F16" s="11" t="s">
        <v>76</v>
      </c>
      <c r="G16" s="11" t="s">
        <v>60</v>
      </c>
      <c r="H16" s="11" t="s">
        <v>77</v>
      </c>
      <c r="I16" s="11" t="s">
        <v>78</v>
      </c>
      <c r="J16" s="11" t="s">
        <v>79</v>
      </c>
      <c r="K16" s="9" t="s">
        <v>36</v>
      </c>
      <c r="L16" s="10" t="s">
        <v>37</v>
      </c>
      <c r="M16" s="11" t="s">
        <v>64</v>
      </c>
    </row>
    <row r="17" spans="1:13" ht="78" customHeight="1" x14ac:dyDescent="0.35">
      <c r="A17" s="7" t="s">
        <v>80</v>
      </c>
      <c r="B17" s="7" t="s">
        <v>81</v>
      </c>
      <c r="C17" s="7" t="s">
        <v>75</v>
      </c>
      <c r="D17" s="7" t="s">
        <v>29</v>
      </c>
      <c r="E17" s="7" t="s">
        <v>30</v>
      </c>
      <c r="F17" s="8" t="s">
        <v>76</v>
      </c>
      <c r="G17" s="8" t="s">
        <v>60</v>
      </c>
      <c r="H17" s="8" t="s">
        <v>82</v>
      </c>
      <c r="I17" s="8" t="s">
        <v>83</v>
      </c>
      <c r="J17" s="8" t="s">
        <v>84</v>
      </c>
      <c r="K17" s="9" t="s">
        <v>36</v>
      </c>
      <c r="L17" s="7" t="s">
        <v>37</v>
      </c>
      <c r="M17" s="8" t="s">
        <v>64</v>
      </c>
    </row>
    <row r="18" spans="1:13" ht="78" customHeight="1" x14ac:dyDescent="0.35">
      <c r="A18" s="10" t="s">
        <v>85</v>
      </c>
      <c r="B18" s="10" t="s">
        <v>86</v>
      </c>
      <c r="C18" s="10" t="s">
        <v>75</v>
      </c>
      <c r="D18" s="10" t="s">
        <v>30</v>
      </c>
      <c r="E18" s="10" t="s">
        <v>30</v>
      </c>
      <c r="F18" s="11" t="s">
        <v>87</v>
      </c>
      <c r="G18" s="11" t="s">
        <v>88</v>
      </c>
      <c r="H18" s="11" t="s">
        <v>89</v>
      </c>
      <c r="I18" s="11" t="s">
        <v>90</v>
      </c>
      <c r="J18" s="11" t="s">
        <v>91</v>
      </c>
      <c r="K18" s="12" t="s">
        <v>56</v>
      </c>
      <c r="L18" s="10" t="s">
        <v>47</v>
      </c>
      <c r="M18" s="11" t="s">
        <v>92</v>
      </c>
    </row>
    <row r="19" spans="1:13" ht="78" customHeight="1" x14ac:dyDescent="0.35">
      <c r="A19" s="7" t="s">
        <v>93</v>
      </c>
      <c r="B19" s="7" t="s">
        <v>94</v>
      </c>
      <c r="C19" s="7" t="s">
        <v>75</v>
      </c>
      <c r="D19" s="7" t="s">
        <v>41</v>
      </c>
      <c r="E19" s="7" t="s">
        <v>41</v>
      </c>
      <c r="F19" s="8" t="s">
        <v>95</v>
      </c>
      <c r="G19" s="8" t="s">
        <v>60</v>
      </c>
      <c r="H19" s="8" t="s">
        <v>96</v>
      </c>
      <c r="I19" s="8" t="s">
        <v>97</v>
      </c>
      <c r="J19" s="8" t="s">
        <v>98</v>
      </c>
      <c r="K19" s="9" t="s">
        <v>36</v>
      </c>
      <c r="L19" s="7" t="s">
        <v>37</v>
      </c>
      <c r="M19" s="8" t="s">
        <v>64</v>
      </c>
    </row>
    <row r="20" spans="1:13" ht="78" customHeight="1" x14ac:dyDescent="0.35">
      <c r="A20" s="10" t="s">
        <v>99</v>
      </c>
      <c r="B20" s="10" t="s">
        <v>100</v>
      </c>
      <c r="C20" s="10" t="s">
        <v>101</v>
      </c>
      <c r="D20" s="10" t="s">
        <v>29</v>
      </c>
      <c r="E20" s="10" t="s">
        <v>30</v>
      </c>
      <c r="F20" s="11" t="s">
        <v>60</v>
      </c>
      <c r="G20" s="11" t="s">
        <v>102</v>
      </c>
      <c r="H20" s="11" t="s">
        <v>103</v>
      </c>
      <c r="I20" s="11" t="s">
        <v>104</v>
      </c>
      <c r="J20" s="11" t="s">
        <v>105</v>
      </c>
      <c r="K20" s="9" t="s">
        <v>36</v>
      </c>
      <c r="L20" s="10" t="s">
        <v>37</v>
      </c>
      <c r="M20" s="11" t="s">
        <v>64</v>
      </c>
    </row>
    <row r="21" spans="1:13" ht="78" customHeight="1" x14ac:dyDescent="0.35">
      <c r="A21" s="7" t="s">
        <v>106</v>
      </c>
      <c r="B21" s="7" t="s">
        <v>107</v>
      </c>
      <c r="C21" s="7" t="s">
        <v>101</v>
      </c>
      <c r="D21" s="7" t="s">
        <v>41</v>
      </c>
      <c r="E21" s="7" t="s">
        <v>41</v>
      </c>
      <c r="F21" s="8" t="s">
        <v>108</v>
      </c>
      <c r="G21" s="8" t="s">
        <v>109</v>
      </c>
      <c r="H21" s="8" t="s">
        <v>110</v>
      </c>
      <c r="I21" s="8" t="s">
        <v>111</v>
      </c>
      <c r="J21" s="8" t="s">
        <v>112</v>
      </c>
      <c r="K21" s="9" t="s">
        <v>36</v>
      </c>
      <c r="L21" s="7" t="s">
        <v>37</v>
      </c>
      <c r="M21" s="8" t="s">
        <v>113</v>
      </c>
    </row>
    <row r="22" spans="1:13" ht="78" customHeight="1" x14ac:dyDescent="0.35">
      <c r="A22" s="10" t="s">
        <v>114</v>
      </c>
      <c r="B22" s="10" t="s">
        <v>115</v>
      </c>
      <c r="C22" s="10" t="s">
        <v>101</v>
      </c>
      <c r="D22" s="10" t="s">
        <v>30</v>
      </c>
      <c r="E22" s="10" t="s">
        <v>41</v>
      </c>
      <c r="F22" s="11" t="s">
        <v>108</v>
      </c>
      <c r="G22" s="11" t="s">
        <v>116</v>
      </c>
      <c r="H22" s="11" t="s">
        <v>117</v>
      </c>
      <c r="I22" s="11" t="s">
        <v>118</v>
      </c>
      <c r="J22" s="11" t="s">
        <v>119</v>
      </c>
      <c r="K22" s="9" t="s">
        <v>36</v>
      </c>
      <c r="L22" s="10" t="s">
        <v>47</v>
      </c>
      <c r="M22" s="11" t="s">
        <v>64</v>
      </c>
    </row>
    <row r="23" spans="1:13" ht="78" customHeight="1" x14ac:dyDescent="0.35">
      <c r="A23" s="7" t="s">
        <v>120</v>
      </c>
      <c r="B23" s="7" t="s">
        <v>121</v>
      </c>
      <c r="C23" s="7" t="s">
        <v>122</v>
      </c>
      <c r="D23" s="7" t="s">
        <v>29</v>
      </c>
      <c r="E23" s="7" t="s">
        <v>30</v>
      </c>
      <c r="F23" s="8" t="s">
        <v>60</v>
      </c>
      <c r="G23" s="8" t="s">
        <v>123</v>
      </c>
      <c r="H23" s="8" t="s">
        <v>124</v>
      </c>
      <c r="I23" s="8" t="s">
        <v>125</v>
      </c>
      <c r="J23" s="8" t="s">
        <v>126</v>
      </c>
      <c r="K23" s="9" t="s">
        <v>36</v>
      </c>
      <c r="L23" s="7" t="s">
        <v>37</v>
      </c>
      <c r="M23" s="8" t="s">
        <v>64</v>
      </c>
    </row>
    <row r="24" spans="1:13" ht="78" customHeight="1" x14ac:dyDescent="0.35">
      <c r="A24" s="10" t="s">
        <v>127</v>
      </c>
      <c r="B24" s="10" t="s">
        <v>128</v>
      </c>
      <c r="C24" s="10" t="s">
        <v>122</v>
      </c>
      <c r="D24" s="10" t="s">
        <v>29</v>
      </c>
      <c r="E24" s="10" t="s">
        <v>30</v>
      </c>
      <c r="F24" s="11" t="s">
        <v>60</v>
      </c>
      <c r="G24" s="11" t="s">
        <v>129</v>
      </c>
      <c r="H24" s="11" t="s">
        <v>130</v>
      </c>
      <c r="I24" s="11" t="s">
        <v>131</v>
      </c>
      <c r="J24" s="11" t="s">
        <v>126</v>
      </c>
      <c r="K24" s="9" t="s">
        <v>36</v>
      </c>
      <c r="L24" s="10" t="s">
        <v>37</v>
      </c>
      <c r="M24" s="11" t="s">
        <v>64</v>
      </c>
    </row>
    <row r="25" spans="1:13" ht="78" customHeight="1" x14ac:dyDescent="0.35">
      <c r="A25" s="7" t="s">
        <v>132</v>
      </c>
      <c r="B25" s="7" t="s">
        <v>133</v>
      </c>
      <c r="C25" s="7" t="s">
        <v>122</v>
      </c>
      <c r="D25" s="7" t="s">
        <v>30</v>
      </c>
      <c r="E25" s="7" t="s">
        <v>41</v>
      </c>
      <c r="F25" s="8" t="s">
        <v>134</v>
      </c>
      <c r="G25" s="8" t="s">
        <v>135</v>
      </c>
      <c r="H25" s="8" t="s">
        <v>136</v>
      </c>
      <c r="I25" s="8" t="s">
        <v>137</v>
      </c>
      <c r="J25" s="8" t="s">
        <v>138</v>
      </c>
      <c r="K25" s="9" t="s">
        <v>36</v>
      </c>
      <c r="L25" s="7" t="s">
        <v>37</v>
      </c>
      <c r="M25" s="8" t="s">
        <v>64</v>
      </c>
    </row>
    <row r="26" spans="1:13" ht="78" customHeight="1" x14ac:dyDescent="0.35">
      <c r="A26" s="10" t="s">
        <v>139</v>
      </c>
      <c r="B26" s="10" t="s">
        <v>140</v>
      </c>
      <c r="C26" s="10" t="s">
        <v>122</v>
      </c>
      <c r="D26" s="10" t="s">
        <v>41</v>
      </c>
      <c r="E26" s="10" t="s">
        <v>41</v>
      </c>
      <c r="F26" s="11" t="s">
        <v>51</v>
      </c>
      <c r="G26" s="11" t="s">
        <v>141</v>
      </c>
      <c r="H26" s="11" t="s">
        <v>142</v>
      </c>
      <c r="I26" s="11" t="s">
        <v>143</v>
      </c>
      <c r="J26" s="11" t="s">
        <v>144</v>
      </c>
      <c r="K26" s="9" t="s">
        <v>36</v>
      </c>
      <c r="L26" s="10" t="s">
        <v>47</v>
      </c>
      <c r="M26" s="11" t="s">
        <v>64</v>
      </c>
    </row>
    <row r="27" spans="1:13" ht="78" customHeight="1" x14ac:dyDescent="0.35">
      <c r="A27" s="7" t="s">
        <v>145</v>
      </c>
      <c r="B27" s="7" t="s">
        <v>146</v>
      </c>
      <c r="C27" s="7" t="s">
        <v>147</v>
      </c>
      <c r="D27" s="7" t="s">
        <v>29</v>
      </c>
      <c r="E27" s="7" t="s">
        <v>30</v>
      </c>
      <c r="F27" s="8" t="s">
        <v>60</v>
      </c>
      <c r="G27" s="8" t="s">
        <v>148</v>
      </c>
      <c r="H27" s="8" t="s">
        <v>149</v>
      </c>
      <c r="I27" s="8" t="s">
        <v>150</v>
      </c>
      <c r="J27" s="8" t="s">
        <v>151</v>
      </c>
      <c r="K27" s="9" t="s">
        <v>36</v>
      </c>
      <c r="L27" s="7" t="s">
        <v>37</v>
      </c>
      <c r="M27" s="8" t="s">
        <v>64</v>
      </c>
    </row>
    <row r="28" spans="1:13" ht="78" customHeight="1" x14ac:dyDescent="0.35">
      <c r="A28" s="10" t="s">
        <v>152</v>
      </c>
      <c r="B28" s="10" t="s">
        <v>153</v>
      </c>
      <c r="C28" s="10" t="s">
        <v>147</v>
      </c>
      <c r="D28" s="10" t="s">
        <v>29</v>
      </c>
      <c r="E28" s="10" t="s">
        <v>30</v>
      </c>
      <c r="F28" s="11" t="s">
        <v>154</v>
      </c>
      <c r="G28" s="11" t="s">
        <v>155</v>
      </c>
      <c r="H28" s="11" t="s">
        <v>156</v>
      </c>
      <c r="I28" s="11" t="s">
        <v>157</v>
      </c>
      <c r="J28" s="11" t="s">
        <v>158</v>
      </c>
      <c r="K28" s="9" t="s">
        <v>36</v>
      </c>
      <c r="L28" s="10" t="s">
        <v>37</v>
      </c>
      <c r="M28" s="11" t="s">
        <v>64</v>
      </c>
    </row>
    <row r="29" spans="1:13" ht="78" customHeight="1" x14ac:dyDescent="0.35">
      <c r="A29" s="7" t="s">
        <v>159</v>
      </c>
      <c r="B29" s="7" t="s">
        <v>160</v>
      </c>
      <c r="C29" s="7" t="s">
        <v>147</v>
      </c>
      <c r="D29" s="7" t="s">
        <v>30</v>
      </c>
      <c r="E29" s="7" t="s">
        <v>30</v>
      </c>
      <c r="F29" s="8" t="s">
        <v>161</v>
      </c>
      <c r="G29" s="8" t="s">
        <v>162</v>
      </c>
      <c r="H29" s="8" t="s">
        <v>163</v>
      </c>
      <c r="I29" s="8" t="s">
        <v>164</v>
      </c>
      <c r="J29" s="8" t="s">
        <v>165</v>
      </c>
      <c r="K29" s="12" t="s">
        <v>56</v>
      </c>
      <c r="L29" s="7" t="s">
        <v>47</v>
      </c>
      <c r="M29" s="8" t="s">
        <v>166</v>
      </c>
    </row>
    <row r="30" spans="1:13" ht="78" customHeight="1" x14ac:dyDescent="0.35">
      <c r="A30" s="10" t="s">
        <v>167</v>
      </c>
      <c r="B30" s="10" t="s">
        <v>168</v>
      </c>
      <c r="C30" s="10" t="s">
        <v>147</v>
      </c>
      <c r="D30" s="10" t="s">
        <v>41</v>
      </c>
      <c r="E30" s="10" t="s">
        <v>41</v>
      </c>
      <c r="F30" s="11" t="s">
        <v>169</v>
      </c>
      <c r="G30" s="11" t="s">
        <v>170</v>
      </c>
      <c r="H30" s="11" t="s">
        <v>171</v>
      </c>
      <c r="I30" s="11" t="s">
        <v>172</v>
      </c>
      <c r="J30" s="11" t="s">
        <v>173</v>
      </c>
      <c r="K30" s="9" t="s">
        <v>36</v>
      </c>
      <c r="L30" s="10" t="s">
        <v>47</v>
      </c>
      <c r="M30" s="11" t="s">
        <v>64</v>
      </c>
    </row>
    <row r="31" spans="1:13" ht="78" customHeight="1" x14ac:dyDescent="0.35">
      <c r="A31" s="7" t="s">
        <v>174</v>
      </c>
      <c r="B31" s="7" t="s">
        <v>175</v>
      </c>
      <c r="C31" s="7" t="s">
        <v>176</v>
      </c>
      <c r="D31" s="7" t="s">
        <v>29</v>
      </c>
      <c r="E31" s="7" t="s">
        <v>29</v>
      </c>
      <c r="F31" s="8" t="s">
        <v>177</v>
      </c>
      <c r="G31" s="8" t="s">
        <v>178</v>
      </c>
      <c r="H31" s="8" t="s">
        <v>179</v>
      </c>
      <c r="I31" s="8" t="s">
        <v>180</v>
      </c>
      <c r="J31" s="8" t="s">
        <v>181</v>
      </c>
      <c r="K31" s="13" t="s">
        <v>182</v>
      </c>
      <c r="L31" s="7" t="s">
        <v>47</v>
      </c>
      <c r="M31" s="8" t="s">
        <v>183</v>
      </c>
    </row>
    <row r="32" spans="1:13" ht="78" customHeight="1" x14ac:dyDescent="0.35">
      <c r="A32" s="10" t="s">
        <v>184</v>
      </c>
      <c r="B32" s="10" t="s">
        <v>185</v>
      </c>
      <c r="C32" s="10" t="s">
        <v>176</v>
      </c>
      <c r="D32" s="10" t="s">
        <v>29</v>
      </c>
      <c r="E32" s="10" t="s">
        <v>29</v>
      </c>
      <c r="F32" s="11" t="s">
        <v>154</v>
      </c>
      <c r="G32" s="11" t="s">
        <v>186</v>
      </c>
      <c r="H32" s="11" t="s">
        <v>187</v>
      </c>
      <c r="I32" s="11" t="s">
        <v>188</v>
      </c>
      <c r="J32" s="11" t="s">
        <v>189</v>
      </c>
      <c r="K32" s="9" t="s">
        <v>36</v>
      </c>
      <c r="L32" s="10" t="s">
        <v>37</v>
      </c>
      <c r="M32" s="11" t="s">
        <v>190</v>
      </c>
    </row>
    <row r="33" spans="1:13" ht="78" customHeight="1" x14ac:dyDescent="0.35">
      <c r="A33" s="7" t="s">
        <v>191</v>
      </c>
      <c r="B33" s="7" t="s">
        <v>192</v>
      </c>
      <c r="C33" s="7" t="s">
        <v>176</v>
      </c>
      <c r="D33" s="7" t="s">
        <v>29</v>
      </c>
      <c r="E33" s="7" t="s">
        <v>30</v>
      </c>
      <c r="F33" s="8" t="s">
        <v>154</v>
      </c>
      <c r="G33" s="8" t="s">
        <v>193</v>
      </c>
      <c r="H33" s="8" t="s">
        <v>194</v>
      </c>
      <c r="I33" s="8" t="s">
        <v>195</v>
      </c>
      <c r="J33" s="8" t="s">
        <v>196</v>
      </c>
      <c r="K33" s="9" t="s">
        <v>36</v>
      </c>
      <c r="L33" s="7" t="s">
        <v>37</v>
      </c>
      <c r="M33" s="8" t="s">
        <v>197</v>
      </c>
    </row>
    <row r="34" spans="1:13" ht="78" customHeight="1" x14ac:dyDescent="0.35">
      <c r="A34" s="10" t="s">
        <v>198</v>
      </c>
      <c r="B34" s="10" t="s">
        <v>199</v>
      </c>
      <c r="C34" s="10" t="s">
        <v>176</v>
      </c>
      <c r="D34" s="10" t="s">
        <v>30</v>
      </c>
      <c r="E34" s="10" t="s">
        <v>30</v>
      </c>
      <c r="F34" s="11" t="s">
        <v>154</v>
      </c>
      <c r="G34" s="11" t="s">
        <v>200</v>
      </c>
      <c r="H34" s="11" t="s">
        <v>201</v>
      </c>
      <c r="I34" s="11" t="s">
        <v>202</v>
      </c>
      <c r="J34" s="11" t="s">
        <v>203</v>
      </c>
      <c r="K34" s="9" t="s">
        <v>36</v>
      </c>
      <c r="L34" s="10" t="s">
        <v>37</v>
      </c>
      <c r="M34" s="11" t="s">
        <v>197</v>
      </c>
    </row>
    <row r="35" spans="1:13" ht="78" customHeight="1" x14ac:dyDescent="0.35">
      <c r="A35" s="7" t="s">
        <v>204</v>
      </c>
      <c r="B35" s="7" t="s">
        <v>205</v>
      </c>
      <c r="C35" s="7" t="s">
        <v>176</v>
      </c>
      <c r="D35" s="7" t="s">
        <v>41</v>
      </c>
      <c r="E35" s="7" t="s">
        <v>41</v>
      </c>
      <c r="F35" s="8" t="s">
        <v>154</v>
      </c>
      <c r="G35" s="8" t="s">
        <v>206</v>
      </c>
      <c r="H35" s="8" t="s">
        <v>207</v>
      </c>
      <c r="I35" s="8" t="s">
        <v>208</v>
      </c>
      <c r="J35" s="8" t="s">
        <v>209</v>
      </c>
      <c r="K35" s="9" t="s">
        <v>36</v>
      </c>
      <c r="L35" s="7" t="s">
        <v>47</v>
      </c>
      <c r="M35" s="8" t="s">
        <v>210</v>
      </c>
    </row>
    <row r="36" spans="1:13" ht="78" customHeight="1" x14ac:dyDescent="0.35">
      <c r="A36" s="10" t="s">
        <v>211</v>
      </c>
      <c r="B36" s="10" t="s">
        <v>212</v>
      </c>
      <c r="C36" s="10" t="s">
        <v>213</v>
      </c>
      <c r="D36" s="10" t="s">
        <v>30</v>
      </c>
      <c r="E36" s="10" t="s">
        <v>41</v>
      </c>
      <c r="F36" s="11" t="s">
        <v>214</v>
      </c>
      <c r="G36" s="11" t="s">
        <v>215</v>
      </c>
      <c r="H36" s="11" t="s">
        <v>216</v>
      </c>
      <c r="I36" s="11" t="s">
        <v>217</v>
      </c>
      <c r="J36" s="11" t="s">
        <v>218</v>
      </c>
      <c r="K36" s="9" t="s">
        <v>36</v>
      </c>
      <c r="L36" s="10" t="s">
        <v>37</v>
      </c>
      <c r="M36" s="11" t="s">
        <v>64</v>
      </c>
    </row>
    <row r="37" spans="1:13" ht="78" customHeight="1" x14ac:dyDescent="0.35">
      <c r="A37" s="7" t="s">
        <v>219</v>
      </c>
      <c r="B37" s="7" t="s">
        <v>220</v>
      </c>
      <c r="C37" s="7" t="s">
        <v>213</v>
      </c>
      <c r="D37" s="7" t="s">
        <v>41</v>
      </c>
      <c r="E37" s="7" t="s">
        <v>41</v>
      </c>
      <c r="F37" s="8" t="s">
        <v>214</v>
      </c>
      <c r="G37" s="8" t="s">
        <v>221</v>
      </c>
      <c r="H37" s="8" t="s">
        <v>222</v>
      </c>
      <c r="I37" s="8" t="s">
        <v>223</v>
      </c>
      <c r="J37" s="8" t="s">
        <v>224</v>
      </c>
      <c r="K37" s="9" t="s">
        <v>36</v>
      </c>
      <c r="L37" s="7" t="s">
        <v>47</v>
      </c>
      <c r="M37" s="8" t="s">
        <v>64</v>
      </c>
    </row>
    <row r="38" spans="1:13" ht="78" customHeight="1" x14ac:dyDescent="0.35">
      <c r="A38" s="10" t="s">
        <v>225</v>
      </c>
      <c r="B38" s="10" t="s">
        <v>226</v>
      </c>
      <c r="C38" s="10" t="s">
        <v>213</v>
      </c>
      <c r="D38" s="10" t="s">
        <v>30</v>
      </c>
      <c r="E38" s="10" t="s">
        <v>30</v>
      </c>
      <c r="F38" s="11" t="s">
        <v>214</v>
      </c>
      <c r="G38" s="11" t="s">
        <v>227</v>
      </c>
      <c r="H38" s="11" t="s">
        <v>228</v>
      </c>
      <c r="I38" s="11" t="s">
        <v>229</v>
      </c>
      <c r="J38" s="11" t="s">
        <v>230</v>
      </c>
      <c r="K38" s="12" t="s">
        <v>56</v>
      </c>
      <c r="L38" s="10" t="s">
        <v>47</v>
      </c>
      <c r="M38" s="11" t="s">
        <v>231</v>
      </c>
    </row>
    <row r="39" spans="1:13" ht="78" customHeight="1" x14ac:dyDescent="0.35">
      <c r="A39" s="7" t="s">
        <v>232</v>
      </c>
      <c r="B39" s="7" t="s">
        <v>233</v>
      </c>
      <c r="C39" s="7" t="s">
        <v>234</v>
      </c>
      <c r="D39" s="7" t="s">
        <v>29</v>
      </c>
      <c r="E39" s="7" t="s">
        <v>30</v>
      </c>
      <c r="F39" s="8" t="s">
        <v>235</v>
      </c>
      <c r="G39" s="8" t="s">
        <v>236</v>
      </c>
      <c r="H39" s="8" t="s">
        <v>237</v>
      </c>
      <c r="I39" s="8" t="s">
        <v>238</v>
      </c>
      <c r="J39" s="8" t="s">
        <v>239</v>
      </c>
      <c r="K39" s="9" t="s">
        <v>36</v>
      </c>
      <c r="L39" s="7" t="s">
        <v>47</v>
      </c>
      <c r="M39" s="8" t="s">
        <v>64</v>
      </c>
    </row>
    <row r="40" spans="1:13" ht="78" customHeight="1" x14ac:dyDescent="0.35">
      <c r="A40" s="10" t="s">
        <v>240</v>
      </c>
      <c r="B40" s="10" t="s">
        <v>241</v>
      </c>
      <c r="C40" s="10" t="s">
        <v>234</v>
      </c>
      <c r="D40" s="10" t="s">
        <v>29</v>
      </c>
      <c r="E40" s="10" t="s">
        <v>30</v>
      </c>
      <c r="F40" s="11" t="s">
        <v>242</v>
      </c>
      <c r="G40" s="11" t="s">
        <v>243</v>
      </c>
      <c r="H40" s="11" t="s">
        <v>244</v>
      </c>
      <c r="I40" s="11" t="s">
        <v>245</v>
      </c>
      <c r="J40" s="11" t="s">
        <v>246</v>
      </c>
      <c r="K40" s="9" t="s">
        <v>36</v>
      </c>
      <c r="L40" s="10" t="s">
        <v>47</v>
      </c>
      <c r="M40" s="11" t="s">
        <v>64</v>
      </c>
    </row>
    <row r="41" spans="1:13" ht="78" customHeight="1" x14ac:dyDescent="0.35">
      <c r="A41" s="7" t="s">
        <v>247</v>
      </c>
      <c r="B41" s="7" t="s">
        <v>248</v>
      </c>
      <c r="C41" s="7" t="s">
        <v>234</v>
      </c>
      <c r="D41" s="7" t="s">
        <v>30</v>
      </c>
      <c r="E41" s="7" t="s">
        <v>41</v>
      </c>
      <c r="F41" s="8" t="s">
        <v>249</v>
      </c>
      <c r="G41" s="8" t="s">
        <v>250</v>
      </c>
      <c r="H41" s="8" t="s">
        <v>251</v>
      </c>
      <c r="I41" s="8" t="s">
        <v>252</v>
      </c>
      <c r="J41" s="8" t="s">
        <v>253</v>
      </c>
      <c r="K41" s="9" t="s">
        <v>36</v>
      </c>
      <c r="L41" s="7" t="s">
        <v>37</v>
      </c>
      <c r="M41" s="8" t="s">
        <v>64</v>
      </c>
    </row>
    <row r="42" spans="1:13" ht="78" customHeight="1" x14ac:dyDescent="0.35">
      <c r="A42" s="10" t="s">
        <v>254</v>
      </c>
      <c r="B42" s="10" t="s">
        <v>255</v>
      </c>
      <c r="C42" s="10" t="s">
        <v>256</v>
      </c>
      <c r="D42" s="10" t="s">
        <v>29</v>
      </c>
      <c r="E42" s="10" t="s">
        <v>30</v>
      </c>
      <c r="F42" s="11" t="s">
        <v>257</v>
      </c>
      <c r="G42" s="11" t="s">
        <v>32</v>
      </c>
      <c r="H42" s="11" t="s">
        <v>258</v>
      </c>
      <c r="I42" s="11" t="s">
        <v>259</v>
      </c>
      <c r="J42" s="11" t="s">
        <v>260</v>
      </c>
      <c r="K42" s="9" t="s">
        <v>36</v>
      </c>
      <c r="L42" s="10" t="s">
        <v>47</v>
      </c>
      <c r="M42" s="11" t="s">
        <v>64</v>
      </c>
    </row>
    <row r="43" spans="1:13" ht="78" customHeight="1" x14ac:dyDescent="0.35">
      <c r="A43" s="7" t="s">
        <v>261</v>
      </c>
      <c r="B43" s="7" t="s">
        <v>262</v>
      </c>
      <c r="C43" s="7" t="s">
        <v>256</v>
      </c>
      <c r="D43" s="7" t="s">
        <v>30</v>
      </c>
      <c r="E43" s="7" t="s">
        <v>30</v>
      </c>
      <c r="F43" s="8" t="s">
        <v>263</v>
      </c>
      <c r="G43" s="8" t="s">
        <v>264</v>
      </c>
      <c r="H43" s="8" t="s">
        <v>265</v>
      </c>
      <c r="I43" s="8" t="s">
        <v>266</v>
      </c>
      <c r="J43" s="8" t="s">
        <v>267</v>
      </c>
      <c r="K43" s="13" t="s">
        <v>182</v>
      </c>
      <c r="L43" s="7" t="s">
        <v>47</v>
      </c>
      <c r="M43" s="8" t="s">
        <v>268</v>
      </c>
    </row>
    <row r="44" spans="1:13" ht="78" customHeight="1" x14ac:dyDescent="0.35">
      <c r="A44" s="10" t="s">
        <v>269</v>
      </c>
      <c r="B44" s="10" t="s">
        <v>270</v>
      </c>
      <c r="C44" s="10" t="s">
        <v>271</v>
      </c>
      <c r="D44" s="10" t="s">
        <v>30</v>
      </c>
      <c r="E44" s="10" t="s">
        <v>41</v>
      </c>
      <c r="F44" s="11" t="s">
        <v>272</v>
      </c>
      <c r="G44" s="11" t="s">
        <v>60</v>
      </c>
      <c r="H44" s="11" t="s">
        <v>273</v>
      </c>
      <c r="I44" s="11" t="s">
        <v>274</v>
      </c>
      <c r="J44" s="11" t="s">
        <v>275</v>
      </c>
      <c r="K44" s="9" t="s">
        <v>36</v>
      </c>
      <c r="L44" s="10" t="s">
        <v>47</v>
      </c>
      <c r="M44" s="11" t="s">
        <v>64</v>
      </c>
    </row>
    <row r="45" spans="1:13" ht="78" customHeight="1" x14ac:dyDescent="0.35">
      <c r="A45" s="7" t="s">
        <v>276</v>
      </c>
      <c r="B45" s="7" t="s">
        <v>277</v>
      </c>
      <c r="C45" s="7" t="s">
        <v>271</v>
      </c>
      <c r="D45" s="7" t="s">
        <v>41</v>
      </c>
      <c r="E45" s="7" t="s">
        <v>41</v>
      </c>
      <c r="F45" s="8" t="s">
        <v>278</v>
      </c>
      <c r="G45" s="8" t="s">
        <v>60</v>
      </c>
      <c r="H45" s="8" t="s">
        <v>279</v>
      </c>
      <c r="I45" s="8" t="s">
        <v>280</v>
      </c>
      <c r="J45" s="8" t="s">
        <v>281</v>
      </c>
      <c r="K45" s="12" t="s">
        <v>56</v>
      </c>
      <c r="L45" s="7" t="s">
        <v>47</v>
      </c>
      <c r="M45" s="8" t="s">
        <v>282</v>
      </c>
    </row>
    <row r="46" spans="1:13" ht="78" customHeight="1" x14ac:dyDescent="0.35">
      <c r="A46" s="10" t="s">
        <v>283</v>
      </c>
      <c r="B46" s="10" t="s">
        <v>284</v>
      </c>
      <c r="C46" s="10" t="s">
        <v>285</v>
      </c>
      <c r="D46" s="10" t="s">
        <v>30</v>
      </c>
      <c r="E46" s="10" t="s">
        <v>30</v>
      </c>
      <c r="F46" s="11" t="s">
        <v>154</v>
      </c>
      <c r="G46" s="11" t="s">
        <v>286</v>
      </c>
      <c r="H46" s="11" t="s">
        <v>287</v>
      </c>
      <c r="I46" s="11" t="s">
        <v>288</v>
      </c>
      <c r="J46" s="11" t="s">
        <v>289</v>
      </c>
      <c r="K46" s="13" t="s">
        <v>182</v>
      </c>
      <c r="L46" s="10" t="s">
        <v>47</v>
      </c>
      <c r="M46" s="11" t="s">
        <v>290</v>
      </c>
    </row>
    <row r="47" spans="1:13" ht="78" customHeight="1" x14ac:dyDescent="0.35">
      <c r="A47" s="7" t="s">
        <v>291</v>
      </c>
      <c r="B47" s="7" t="s">
        <v>292</v>
      </c>
      <c r="C47" s="7" t="s">
        <v>293</v>
      </c>
      <c r="D47" s="7" t="s">
        <v>29</v>
      </c>
      <c r="E47" s="7" t="s">
        <v>29</v>
      </c>
      <c r="F47" s="8" t="s">
        <v>294</v>
      </c>
      <c r="G47" s="8" t="s">
        <v>295</v>
      </c>
      <c r="H47" s="8" t="s">
        <v>296</v>
      </c>
      <c r="I47" s="8" t="s">
        <v>297</v>
      </c>
      <c r="J47" s="8" t="s">
        <v>298</v>
      </c>
      <c r="K47" s="12" t="s">
        <v>56</v>
      </c>
      <c r="L47" s="7" t="s">
        <v>37</v>
      </c>
      <c r="M47" s="8" t="s">
        <v>299</v>
      </c>
    </row>
    <row r="48" spans="1:13" ht="78" customHeight="1" x14ac:dyDescent="0.35">
      <c r="A48" s="10" t="s">
        <v>300</v>
      </c>
      <c r="B48" s="10" t="s">
        <v>301</v>
      </c>
      <c r="C48" s="10" t="s">
        <v>293</v>
      </c>
      <c r="D48" s="10" t="s">
        <v>29</v>
      </c>
      <c r="E48" s="10" t="s">
        <v>29</v>
      </c>
      <c r="F48" s="11" t="s">
        <v>302</v>
      </c>
      <c r="G48" s="11" t="s">
        <v>303</v>
      </c>
      <c r="H48" s="11" t="s">
        <v>304</v>
      </c>
      <c r="I48" s="11" t="s">
        <v>305</v>
      </c>
      <c r="J48" s="11" t="s">
        <v>306</v>
      </c>
      <c r="K48" s="12" t="s">
        <v>56</v>
      </c>
      <c r="L48" s="10" t="s">
        <v>37</v>
      </c>
      <c r="M48" s="11" t="s">
        <v>307</v>
      </c>
    </row>
    <row r="49" spans="1:13" ht="78" customHeight="1" x14ac:dyDescent="0.35">
      <c r="A49" s="7" t="s">
        <v>308</v>
      </c>
      <c r="B49" s="7" t="s">
        <v>309</v>
      </c>
      <c r="C49" s="7" t="s">
        <v>310</v>
      </c>
      <c r="D49" s="7" t="s">
        <v>30</v>
      </c>
      <c r="E49" s="7" t="s">
        <v>41</v>
      </c>
      <c r="F49" s="8" t="s">
        <v>311</v>
      </c>
      <c r="G49" s="8" t="s">
        <v>312</v>
      </c>
      <c r="H49" s="8" t="s">
        <v>313</v>
      </c>
      <c r="I49" s="8" t="s">
        <v>314</v>
      </c>
      <c r="J49" s="8" t="s">
        <v>315</v>
      </c>
      <c r="K49" s="12" t="s">
        <v>56</v>
      </c>
      <c r="L49" s="7" t="s">
        <v>47</v>
      </c>
      <c r="M49" s="8" t="s">
        <v>316</v>
      </c>
    </row>
    <row r="50" spans="1:13" ht="78" customHeight="1" x14ac:dyDescent="0.35">
      <c r="A50" s="10" t="s">
        <v>317</v>
      </c>
      <c r="B50" s="10" t="s">
        <v>318</v>
      </c>
      <c r="C50" s="10" t="s">
        <v>319</v>
      </c>
      <c r="D50" s="10" t="s">
        <v>29</v>
      </c>
      <c r="E50" s="10" t="s">
        <v>29</v>
      </c>
      <c r="F50" s="11" t="s">
        <v>320</v>
      </c>
      <c r="G50" s="11" t="s">
        <v>321</v>
      </c>
      <c r="H50" s="11" t="s">
        <v>322</v>
      </c>
      <c r="I50" s="11" t="s">
        <v>323</v>
      </c>
      <c r="J50" s="11" t="s">
        <v>324</v>
      </c>
      <c r="K50" s="12" t="s">
        <v>56</v>
      </c>
      <c r="L50" s="10" t="s">
        <v>325</v>
      </c>
      <c r="M50" s="11" t="s">
        <v>326</v>
      </c>
    </row>
  </sheetData>
  <autoFilter ref="A10:M50" xr:uid="{00000000-0009-0000-0000-000000000000}"/>
  <mergeCells count="14">
    <mergeCell ref="A8:C8"/>
    <mergeCell ref="D8:M8"/>
    <mergeCell ref="A5:C5"/>
    <mergeCell ref="D5:M5"/>
    <mergeCell ref="A6:C6"/>
    <mergeCell ref="D6:M6"/>
    <mergeCell ref="A7:C7"/>
    <mergeCell ref="D7:M7"/>
    <mergeCell ref="A1:M1"/>
    <mergeCell ref="A2:M2"/>
    <mergeCell ref="A3:C3"/>
    <mergeCell ref="D3:M3"/>
    <mergeCell ref="A4:C4"/>
    <mergeCell ref="D4:M4"/>
  </mergeCells>
  <dataValidations count="2">
    <dataValidation type="list" allowBlank="1" sqref="K11:K50" xr:uid="{00000000-0002-0000-0000-000000000000}">
      <formula1>"Pass,Fail,Blocked,Not Executed"</formula1>
      <formula2>0</formula2>
    </dataValidation>
    <dataValidation type="list" allowBlank="1" sqref="D11:E50" xr:uid="{00000000-0002-0000-0000-000001000000}">
      <formula1>"High,Medium,Low"</formula1>
      <formula2>0</formula2>
    </dataValidation>
  </dataValidation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26"/>
  <sheetViews>
    <sheetView showGridLines="0" zoomScaleNormal="100" workbookViewId="0"/>
  </sheetViews>
  <sheetFormatPr defaultColWidth="8.6328125" defaultRowHeight="14.5" x14ac:dyDescent="0.35"/>
  <cols>
    <col min="1" max="1" width="26" customWidth="1"/>
    <col min="2" max="4" width="12" customWidth="1"/>
  </cols>
  <sheetData>
    <row r="1" spans="1:4" ht="24" customHeight="1" x14ac:dyDescent="0.35">
      <c r="A1" s="1" t="s">
        <v>327</v>
      </c>
      <c r="B1" s="1"/>
      <c r="C1" s="1"/>
      <c r="D1" s="1"/>
    </row>
    <row r="3" spans="1:4" x14ac:dyDescent="0.35">
      <c r="A3" s="14" t="s">
        <v>328</v>
      </c>
      <c r="B3" s="15" t="s">
        <v>329</v>
      </c>
    </row>
    <row r="4" spans="1:4" x14ac:dyDescent="0.35">
      <c r="A4" s="14" t="s">
        <v>330</v>
      </c>
      <c r="B4" s="15">
        <f>COUNTA('Test Cases'!A11:A50)</f>
        <v>40</v>
      </c>
    </row>
    <row r="5" spans="1:4" x14ac:dyDescent="0.35">
      <c r="A5" s="16" t="s">
        <v>23</v>
      </c>
      <c r="B5" s="16" t="s">
        <v>331</v>
      </c>
      <c r="C5" s="16" t="s">
        <v>332</v>
      </c>
    </row>
    <row r="6" spans="1:4" x14ac:dyDescent="0.35">
      <c r="A6" s="17" t="s">
        <v>36</v>
      </c>
      <c r="B6" s="18">
        <f>COUNTIF('Test Cases'!K11:K50,A6)</f>
        <v>27</v>
      </c>
      <c r="C6" s="19">
        <f>IFERROR(B6/$B$4,0)</f>
        <v>0.67500000000000004</v>
      </c>
    </row>
    <row r="7" spans="1:4" x14ac:dyDescent="0.35">
      <c r="A7" s="20" t="s">
        <v>56</v>
      </c>
      <c r="B7" s="18">
        <f>COUNTIF('Test Cases'!K11:K50,A7)</f>
        <v>10</v>
      </c>
      <c r="C7" s="19">
        <f>IFERROR(B7/$B$4,0)</f>
        <v>0.25</v>
      </c>
    </row>
    <row r="8" spans="1:4" x14ac:dyDescent="0.35">
      <c r="A8" s="21" t="s">
        <v>182</v>
      </c>
      <c r="B8" s="18">
        <f>COUNTIF('Test Cases'!K11:K50,A8)</f>
        <v>3</v>
      </c>
      <c r="C8" s="19">
        <f>IFERROR(B8/$B$4,0)</f>
        <v>7.4999999999999997E-2</v>
      </c>
    </row>
    <row r="9" spans="1:4" x14ac:dyDescent="0.35">
      <c r="A9" s="22" t="s">
        <v>333</v>
      </c>
      <c r="B9" s="18">
        <f>COUNTIF('Test Cases'!K11:K50,A9)</f>
        <v>0</v>
      </c>
      <c r="C9" s="19">
        <f>IFERROR(B9/$B$4,0)</f>
        <v>0</v>
      </c>
    </row>
    <row r="10" spans="1:4" x14ac:dyDescent="0.35">
      <c r="A10" s="14" t="s">
        <v>334</v>
      </c>
      <c r="B10" s="23">
        <f>IFERROR(B6/(B6+B7),0)</f>
        <v>0.72972972972972971</v>
      </c>
    </row>
    <row r="12" spans="1:4" x14ac:dyDescent="0.35">
      <c r="A12" s="16" t="s">
        <v>15</v>
      </c>
      <c r="B12" s="16" t="s">
        <v>335</v>
      </c>
      <c r="C12" s="16" t="s">
        <v>36</v>
      </c>
      <c r="D12" s="16" t="s">
        <v>56</v>
      </c>
    </row>
    <row r="13" spans="1:4" x14ac:dyDescent="0.35">
      <c r="A13" s="24" t="s">
        <v>28</v>
      </c>
      <c r="B13" s="18">
        <f>COUNTIF('Test Cases'!C11:C50,A13)</f>
        <v>5</v>
      </c>
      <c r="C13" s="18">
        <f>COUNTIFS('Test Cases'!C11:C50,A13,'Test Cases'!K11:K50,"Pass")</f>
        <v>3</v>
      </c>
      <c r="D13" s="18">
        <f>COUNTIFS('Test Cases'!C11:C50,A13,'Test Cases'!K11:K50,"Fail")</f>
        <v>2</v>
      </c>
    </row>
    <row r="14" spans="1:4" x14ac:dyDescent="0.35">
      <c r="A14" s="24" t="s">
        <v>75</v>
      </c>
      <c r="B14" s="18">
        <f>COUNTIF('Test Cases'!C11:C50,A14)</f>
        <v>4</v>
      </c>
      <c r="C14" s="18">
        <f>COUNTIFS('Test Cases'!C11:C50,A14,'Test Cases'!K11:K50,"Pass")</f>
        <v>3</v>
      </c>
      <c r="D14" s="18">
        <f>COUNTIFS('Test Cases'!C11:C50,A14,'Test Cases'!K11:K50,"Fail")</f>
        <v>1</v>
      </c>
    </row>
    <row r="15" spans="1:4" x14ac:dyDescent="0.35">
      <c r="A15" s="24" t="s">
        <v>101</v>
      </c>
      <c r="B15" s="18">
        <f>COUNTIF('Test Cases'!C11:C50,A15)</f>
        <v>3</v>
      </c>
      <c r="C15" s="18">
        <f>COUNTIFS('Test Cases'!C11:C50,A15,'Test Cases'!K11:K50,"Pass")</f>
        <v>3</v>
      </c>
      <c r="D15" s="18">
        <f>COUNTIFS('Test Cases'!C11:C50,A15,'Test Cases'!K11:K50,"Fail")</f>
        <v>0</v>
      </c>
    </row>
    <row r="16" spans="1:4" x14ac:dyDescent="0.35">
      <c r="A16" s="24" t="s">
        <v>122</v>
      </c>
      <c r="B16" s="18">
        <f>COUNTIF('Test Cases'!C11:C50,A16)</f>
        <v>4</v>
      </c>
      <c r="C16" s="18">
        <f>COUNTIFS('Test Cases'!C11:C50,A16,'Test Cases'!K11:K50,"Pass")</f>
        <v>4</v>
      </c>
      <c r="D16" s="18">
        <f>COUNTIFS('Test Cases'!C11:C50,A16,'Test Cases'!K11:K50,"Fail")</f>
        <v>0</v>
      </c>
    </row>
    <row r="17" spans="1:4" x14ac:dyDescent="0.35">
      <c r="A17" s="24" t="s">
        <v>147</v>
      </c>
      <c r="B17" s="18">
        <f>COUNTIF('Test Cases'!C11:C50,A17)</f>
        <v>4</v>
      </c>
      <c r="C17" s="18">
        <f>COUNTIFS('Test Cases'!C11:C50,A17,'Test Cases'!K11:K50,"Pass")</f>
        <v>3</v>
      </c>
      <c r="D17" s="18">
        <f>COUNTIFS('Test Cases'!C11:C50,A17,'Test Cases'!K11:K50,"Fail")</f>
        <v>1</v>
      </c>
    </row>
    <row r="18" spans="1:4" x14ac:dyDescent="0.35">
      <c r="A18" s="24" t="s">
        <v>176</v>
      </c>
      <c r="B18" s="18">
        <f>COUNTIF('Test Cases'!C11:C50,A18)</f>
        <v>5</v>
      </c>
      <c r="C18" s="18">
        <f>COUNTIFS('Test Cases'!C11:C50,A18,'Test Cases'!K11:K50,"Pass")</f>
        <v>4</v>
      </c>
      <c r="D18" s="18">
        <f>COUNTIFS('Test Cases'!C11:C50,A18,'Test Cases'!K11:K50,"Fail")</f>
        <v>0</v>
      </c>
    </row>
    <row r="19" spans="1:4" x14ac:dyDescent="0.35">
      <c r="A19" s="24" t="s">
        <v>213</v>
      </c>
      <c r="B19" s="18">
        <f>COUNTIF('Test Cases'!C11:C50,A19)</f>
        <v>3</v>
      </c>
      <c r="C19" s="18">
        <f>COUNTIFS('Test Cases'!C11:C50,A19,'Test Cases'!K11:K50,"Pass")</f>
        <v>2</v>
      </c>
      <c r="D19" s="18">
        <f>COUNTIFS('Test Cases'!C11:C50,A19,'Test Cases'!K11:K50,"Fail")</f>
        <v>1</v>
      </c>
    </row>
    <row r="20" spans="1:4" x14ac:dyDescent="0.35">
      <c r="A20" s="24" t="s">
        <v>234</v>
      </c>
      <c r="B20" s="18">
        <f>COUNTIF('Test Cases'!C11:C50,A20)</f>
        <v>3</v>
      </c>
      <c r="C20" s="18">
        <f>COUNTIFS('Test Cases'!C11:C50,A20,'Test Cases'!K11:K50,"Pass")</f>
        <v>3</v>
      </c>
      <c r="D20" s="18">
        <f>COUNTIFS('Test Cases'!C11:C50,A20,'Test Cases'!K11:K50,"Fail")</f>
        <v>0</v>
      </c>
    </row>
    <row r="21" spans="1:4" x14ac:dyDescent="0.35">
      <c r="A21" s="24" t="s">
        <v>256</v>
      </c>
      <c r="B21" s="18">
        <f>COUNTIF('Test Cases'!C11:C50,A21)</f>
        <v>2</v>
      </c>
      <c r="C21" s="18">
        <f>COUNTIFS('Test Cases'!C11:C50,A21,'Test Cases'!K11:K50,"Pass")</f>
        <v>1</v>
      </c>
      <c r="D21" s="18">
        <f>COUNTIFS('Test Cases'!C11:C50,A21,'Test Cases'!K11:K50,"Fail")</f>
        <v>0</v>
      </c>
    </row>
    <row r="22" spans="1:4" x14ac:dyDescent="0.35">
      <c r="A22" s="24" t="s">
        <v>271</v>
      </c>
      <c r="B22" s="18">
        <f>COUNTIF('Test Cases'!C11:C50,A22)</f>
        <v>2</v>
      </c>
      <c r="C22" s="18">
        <f>COUNTIFS('Test Cases'!C11:C50,A22,'Test Cases'!K11:K50,"Pass")</f>
        <v>1</v>
      </c>
      <c r="D22" s="18">
        <f>COUNTIFS('Test Cases'!C11:C50,A22,'Test Cases'!K11:K50,"Fail")</f>
        <v>1</v>
      </c>
    </row>
    <row r="23" spans="1:4" x14ac:dyDescent="0.35">
      <c r="A23" s="24" t="s">
        <v>285</v>
      </c>
      <c r="B23" s="18">
        <f>COUNTIF('Test Cases'!C11:C50,A23)</f>
        <v>1</v>
      </c>
      <c r="C23" s="18">
        <f>COUNTIFS('Test Cases'!C11:C50,A23,'Test Cases'!K11:K50,"Pass")</f>
        <v>0</v>
      </c>
      <c r="D23" s="18">
        <f>COUNTIFS('Test Cases'!C11:C50,A23,'Test Cases'!K11:K50,"Fail")</f>
        <v>0</v>
      </c>
    </row>
    <row r="24" spans="1:4" x14ac:dyDescent="0.35">
      <c r="A24" s="24" t="s">
        <v>293</v>
      </c>
      <c r="B24" s="18">
        <f>COUNTIF('Test Cases'!C11:C50,A24)</f>
        <v>2</v>
      </c>
      <c r="C24" s="18">
        <f>COUNTIFS('Test Cases'!C11:C50,A24,'Test Cases'!K11:K50,"Pass")</f>
        <v>0</v>
      </c>
      <c r="D24" s="18">
        <f>COUNTIFS('Test Cases'!C11:C50,A24,'Test Cases'!K11:K50,"Fail")</f>
        <v>2</v>
      </c>
    </row>
    <row r="25" spans="1:4" x14ac:dyDescent="0.35">
      <c r="A25" s="24" t="s">
        <v>310</v>
      </c>
      <c r="B25" s="18">
        <f>COUNTIF('Test Cases'!C11:C50,A25)</f>
        <v>1</v>
      </c>
      <c r="C25" s="18">
        <f>COUNTIFS('Test Cases'!C11:C50,A25,'Test Cases'!K11:K50,"Pass")</f>
        <v>0</v>
      </c>
      <c r="D25" s="18">
        <f>COUNTIFS('Test Cases'!C11:C50,A25,'Test Cases'!K11:K50,"Fail")</f>
        <v>1</v>
      </c>
    </row>
    <row r="26" spans="1:4" x14ac:dyDescent="0.35">
      <c r="A26" s="24" t="s">
        <v>319</v>
      </c>
      <c r="B26" s="18">
        <f>COUNTIF('Test Cases'!C11:C50,A26)</f>
        <v>1</v>
      </c>
      <c r="C26" s="18">
        <f>COUNTIFS('Test Cases'!C11:C50,A26,'Test Cases'!K11:K50,"Pass")</f>
        <v>0</v>
      </c>
      <c r="D26" s="18">
        <f>COUNTIFS('Test Cases'!C11:C50,A26,'Test Cases'!K11:K50,"Fail")</f>
        <v>1</v>
      </c>
    </row>
  </sheetData>
  <mergeCells count="1">
    <mergeCell ref="A1:D1"/>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Test Cases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Abhishek Sisodiya</cp:lastModifiedBy>
  <cp:revision>0</cp:revision>
  <dcterms:created xsi:type="dcterms:W3CDTF">2026-07-28T09:04:59Z</dcterms:created>
  <dcterms:modified xsi:type="dcterms:W3CDTF">2026-08-04T05:11:40Z</dcterms:modified>
  <dc:language>en-US</dc:language>
</cp:coreProperties>
</file>