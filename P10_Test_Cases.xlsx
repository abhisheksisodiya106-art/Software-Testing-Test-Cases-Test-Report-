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6B62C01D-6860-4446-AAA6-DA36066EB0D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Cases" sheetId="1" r:id="rId1"/>
    <sheet name="Module Analysis" sheetId="2" r:id="rId2"/>
    <sheet name="Regression Suite" sheetId="3" r:id="rId3"/>
    <sheet name="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</calcChain>
</file>

<file path=xl/sharedStrings.xml><?xml version="1.0" encoding="utf-8"?>
<sst xmlns="http://schemas.openxmlformats.org/spreadsheetml/2006/main" count="184" uniqueCount="119">
  <si>
    <t>Module Name:</t>
  </si>
  <si>
    <t>QA Playground Data Table (Book List) Module</t>
  </si>
  <si>
    <t>Practical No.:</t>
  </si>
  <si>
    <t>Practical 10 - Automation &amp; Regression Analysis</t>
  </si>
  <si>
    <t>Test Case ID Range:</t>
  </si>
  <si>
    <t>TC001 to TC005</t>
  </si>
  <si>
    <t>Tester Name:</t>
  </si>
  <si>
    <t>Abhishek</t>
  </si>
  <si>
    <t>Test Case Description:</t>
  </si>
  <si>
    <t>To analyze the Data Table module's functionalities (Search, Genre Filter, Column Sorting, Pagination, Add/Edit/Delete Book) for automation suitability, and execute a regression scenario against the current application state.</t>
  </si>
  <si>
    <t>Prerequisites:</t>
  </si>
  <si>
    <t>1. Stable internet connection
2. Google Chrome browser
3. Valid URL for the QA Playground Data Table page
4. Visual Studio Code with Selenium installed for the automation demonstration</t>
  </si>
  <si>
    <t>Environment Information:</t>
  </si>
  <si>
    <t>Test Case ID</t>
  </si>
  <si>
    <t>Module</t>
  </si>
  <si>
    <t>Functionality</t>
  </si>
  <si>
    <t>Test Scenario</t>
  </si>
  <si>
    <t>Test Type</t>
  </si>
  <si>
    <t>Test Data</t>
  </si>
  <si>
    <t>Expected Result</t>
  </si>
  <si>
    <t>Actual Result</t>
  </si>
  <si>
    <t>Status</t>
  </si>
  <si>
    <t>Automation Recommended</t>
  </si>
  <si>
    <t>Automation Tool</t>
  </si>
  <si>
    <t>Remarks</t>
  </si>
  <si>
    <t>TC001</t>
  </si>
  <si>
    <t>Data Table</t>
  </si>
  <si>
    <t>Search Books</t>
  </si>
  <si>
    <t>Search for a book by name and verify filtered results</t>
  </si>
  <si>
    <t>Regression Testing</t>
  </si>
  <si>
    <t>Search term: "Clean Code"</t>
  </si>
  <si>
    <t>Only the 'Clean Code' row is displayed</t>
  </si>
  <si>
    <t>Pass</t>
  </si>
  <si>
    <t>Yes</t>
  </si>
  <si>
    <t>Selenium with Python</t>
  </si>
  <si>
    <t>Repetitive, deterministic filtering</t>
  </si>
  <si>
    <t>TC002</t>
  </si>
  <si>
    <t>Genre Filter</t>
  </si>
  <si>
    <t>Filter the table using the genre dropdown</t>
  </si>
  <si>
    <t>Genre dropdown selection</t>
  </si>
  <si>
    <t>Table shows only rows matching the selected genre</t>
  </si>
  <si>
    <t>Stable, frequently executed</t>
  </si>
  <si>
    <t>TC003</t>
  </si>
  <si>
    <t>Column Sorting</t>
  </si>
  <si>
    <t>Click 'Book Name' column header to sort ascending, then descending</t>
  </si>
  <si>
    <t>Click 'Book Name' header (twice)</t>
  </si>
  <si>
    <t>Rows sorted ascending, then descending</t>
  </si>
  <si>
    <t>Deterministic ascending/descending toggle behavior</t>
  </si>
  <si>
    <t>TC004</t>
  </si>
  <si>
    <t>Pagination</t>
  </si>
  <si>
    <t>Navigate to page 2 using pagination controls</t>
  </si>
  <si>
    <t>Click page 2</t>
  </si>
  <si>
    <t>Rows 6-10 displayed</t>
  </si>
  <si>
    <t>Repetitive, time-consuming manually</t>
  </si>
  <si>
    <t>TC005</t>
  </si>
  <si>
    <t>Add/Edit/Delete Book</t>
  </si>
  <si>
    <t>Add, edit, or delete a book row via dialog</t>
  </si>
  <si>
    <t>Manual Testing</t>
  </si>
  <si>
    <t>New/updated book details</t>
  </si>
  <si>
    <t>Book list reflects the add/edit/delete action</t>
  </si>
  <si>
    <t>Not Executed - retained for manual testing</t>
  </si>
  <si>
    <t>Not Executed</t>
  </si>
  <si>
    <t>No</t>
  </si>
  <si>
    <t>Validation/business logic changes frequently</t>
  </si>
  <si>
    <t>Module Name</t>
  </si>
  <si>
    <t>Critical (Yes/No)</t>
  </si>
  <si>
    <t>Frequently Changed (Yes/No)</t>
  </si>
  <si>
    <t>Suitable for Automation (Yes/No)</t>
  </si>
  <si>
    <t>Reason</t>
  </si>
  <si>
    <t>Filter table by name</t>
  </si>
  <si>
    <t>Filter table by genre dropdown</t>
  </si>
  <si>
    <t>Sort rows ascending/descending</t>
  </si>
  <si>
    <t>Deterministic toggle behavior</t>
  </si>
  <si>
    <t>Navigate across 5 pages</t>
  </si>
  <si>
    <t>Add Book</t>
  </si>
  <si>
    <t>Add new book via dialog</t>
  </si>
  <si>
    <t>Validation logic changes frequently</t>
  </si>
  <si>
    <t>Edit/Delete Book</t>
  </si>
  <si>
    <t>Update or remove a book row</t>
  </si>
  <si>
    <t>Business logic changes frequently</t>
  </si>
  <si>
    <t>Regression Test ID</t>
  </si>
  <si>
    <t>Scenario</t>
  </si>
  <si>
    <t>RT001</t>
  </si>
  <si>
    <t>Table loads correctly</t>
  </si>
  <si>
    <t>25 books displayed across 5 pages</t>
  </si>
  <si>
    <t>RT002</t>
  </si>
  <si>
    <t>Sort by 'Book Name' column</t>
  </si>
  <si>
    <t>Rows sorted correctly ascending/descending</t>
  </si>
  <si>
    <t>RT003</t>
  </si>
  <si>
    <t>Filter/search data by name</t>
  </si>
  <si>
    <t>Filtered data displayed correctly</t>
  </si>
  <si>
    <t>RT004</t>
  </si>
  <si>
    <t>Pagination across pages</t>
  </si>
  <si>
    <t>Correct rows displayed per page</t>
  </si>
  <si>
    <t>Practical 10 - Automation &amp; Regression Summary</t>
  </si>
  <si>
    <t>Practical Name</t>
  </si>
  <si>
    <t>Automation &amp; Regression Analysis</t>
  </si>
  <si>
    <t>Application Tested</t>
  </si>
  <si>
    <t>QA Playground - Data Table Module</t>
  </si>
  <si>
    <t>Application URL</t>
  </si>
  <si>
    <t>https://qaplayground.com/practice/data-table</t>
  </si>
  <si>
    <t>Tester Name</t>
  </si>
  <si>
    <t>Metric</t>
  </si>
  <si>
    <t>Value</t>
  </si>
  <si>
    <t>Total Modules Analyzed</t>
  </si>
  <si>
    <t>Automation Candidates</t>
  </si>
  <si>
    <t>Modules Excluded (Manual Testing)</t>
  </si>
  <si>
    <t>Total Test Cases (Excel)</t>
  </si>
  <si>
    <t>Test Cases Passed</t>
  </si>
  <si>
    <t>Test Cases Not Executed</t>
  </si>
  <si>
    <t>Regression Test Cases</t>
  </si>
  <si>
    <t>Regression Tests Passed</t>
  </si>
  <si>
    <t>Regression Tests Failed</t>
  </si>
  <si>
    <t>Recommended Automation Tool</t>
  </si>
  <si>
    <t>Overall Recommendation</t>
  </si>
  <si>
    <t>Automate Search, Genre Filter, Sorting, and Pagination; continue manual testing for Add/Edit/Delete</t>
  </si>
  <si>
    <t>Execution Date</t>
  </si>
  <si>
    <t>23/08/2026</t>
  </si>
  <si>
    <t>OS: Windows 11
Browser: Google Chrome
Webpage URL: https://qaplayground.com/practice/data-table
SDLC Model: Waterfall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</si>
</sst>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Times New Roman"/>
      <charset val="1"/>
    </font>
    <font>
      <sz val="11"/>
      <name val="Times New Roman"/>
      <charset val="1"/>
    </font>
    <font>
      <b/>
      <sz val="13"/>
      <name val="Times New Roman"/>
      <charset val="1"/>
    </font>
    <font>
      <i/>
      <sz val="10"/>
      <name val="Times New Roman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70" zoomScaleNormal="70" workbookViewId="0">
      <pane ySplit="9" topLeftCell="A10" activePane="bottomLeft" state="frozen"/>
      <selection pane="bottomLeft" activeCell="D9" sqref="D9"/>
    </sheetView>
  </sheetViews>
  <sheetFormatPr defaultColWidth="8.6328125" defaultRowHeight="14.5" x14ac:dyDescent="0.35"/>
  <cols>
    <col min="1" max="2" width="11" customWidth="1"/>
    <col min="3" max="3" width="18" customWidth="1"/>
    <col min="4" max="4" width="30" customWidth="1"/>
    <col min="5" max="5" width="15" customWidth="1"/>
    <col min="6" max="6" width="20" customWidth="1"/>
    <col min="7" max="8" width="26" customWidth="1"/>
    <col min="9" max="9" width="12" customWidth="1"/>
    <col min="10" max="10" width="14" customWidth="1"/>
    <col min="11" max="11" width="15" customWidth="1"/>
    <col min="12" max="12" width="30" customWidth="1"/>
  </cols>
  <sheetData>
    <row r="1" spans="1:12" ht="15" customHeight="1" x14ac:dyDescent="0.35">
      <c r="A1" s="4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" customHeight="1" x14ac:dyDescent="0.35">
      <c r="A2" s="4" t="s">
        <v>2</v>
      </c>
      <c r="B2" s="3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" customHeight="1" x14ac:dyDescent="0.35">
      <c r="A3" s="4" t="s">
        <v>4</v>
      </c>
      <c r="B3" s="3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" customHeight="1" x14ac:dyDescent="0.35">
      <c r="A4" s="4" t="s">
        <v>6</v>
      </c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5" customHeight="1" x14ac:dyDescent="0.35">
      <c r="A5" s="4" t="s">
        <v>8</v>
      </c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55.5" customHeight="1" x14ac:dyDescent="0.35">
      <c r="A6" s="4" t="s">
        <v>10</v>
      </c>
      <c r="B6" s="3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55.5" customHeight="1" x14ac:dyDescent="0.35">
      <c r="A7" s="4" t="s">
        <v>12</v>
      </c>
      <c r="B7" s="3" t="s">
        <v>118</v>
      </c>
      <c r="C7" s="3"/>
      <c r="D7" s="3"/>
      <c r="E7" s="3"/>
      <c r="F7" s="3"/>
      <c r="G7" s="3"/>
      <c r="H7" s="3"/>
      <c r="I7" s="3"/>
      <c r="J7" s="3"/>
      <c r="K7" s="3"/>
      <c r="L7" s="3"/>
    </row>
    <row r="9" spans="1:12" ht="24" customHeight="1" x14ac:dyDescent="0.35">
      <c r="A9" s="6" t="s">
        <v>13</v>
      </c>
      <c r="B9" s="6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  <c r="J9" s="6" t="s">
        <v>22</v>
      </c>
      <c r="K9" s="6" t="s">
        <v>23</v>
      </c>
      <c r="L9" s="6" t="s">
        <v>24</v>
      </c>
    </row>
    <row r="10" spans="1:12" ht="45.75" customHeight="1" x14ac:dyDescent="0.35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  <c r="H10" s="7" t="s">
        <v>31</v>
      </c>
      <c r="I10" s="7" t="s">
        <v>32</v>
      </c>
      <c r="J10" s="7" t="s">
        <v>33</v>
      </c>
      <c r="K10" s="7" t="s">
        <v>34</v>
      </c>
      <c r="L10" s="7" t="s">
        <v>35</v>
      </c>
    </row>
    <row r="11" spans="1:12" ht="45.75" customHeight="1" x14ac:dyDescent="0.35">
      <c r="A11" s="7" t="s">
        <v>36</v>
      </c>
      <c r="B11" s="7" t="s">
        <v>26</v>
      </c>
      <c r="C11" s="7" t="s">
        <v>37</v>
      </c>
      <c r="D11" s="7" t="s">
        <v>38</v>
      </c>
      <c r="E11" s="7" t="s">
        <v>29</v>
      </c>
      <c r="F11" s="7" t="s">
        <v>39</v>
      </c>
      <c r="G11" s="7" t="s">
        <v>40</v>
      </c>
      <c r="H11" s="7" t="s">
        <v>40</v>
      </c>
      <c r="I11" s="7" t="s">
        <v>32</v>
      </c>
      <c r="J11" s="7" t="s">
        <v>33</v>
      </c>
      <c r="K11" s="7" t="s">
        <v>34</v>
      </c>
      <c r="L11" s="7" t="s">
        <v>41</v>
      </c>
    </row>
    <row r="12" spans="1:12" ht="45.75" customHeight="1" x14ac:dyDescent="0.35">
      <c r="A12" s="7" t="s">
        <v>42</v>
      </c>
      <c r="B12" s="7" t="s">
        <v>26</v>
      </c>
      <c r="C12" s="7" t="s">
        <v>43</v>
      </c>
      <c r="D12" s="7" t="s">
        <v>44</v>
      </c>
      <c r="E12" s="7" t="s">
        <v>29</v>
      </c>
      <c r="F12" s="7" t="s">
        <v>45</v>
      </c>
      <c r="G12" s="7" t="s">
        <v>46</v>
      </c>
      <c r="H12" s="7" t="s">
        <v>46</v>
      </c>
      <c r="I12" s="7" t="s">
        <v>32</v>
      </c>
      <c r="J12" s="7" t="s">
        <v>33</v>
      </c>
      <c r="K12" s="7" t="s">
        <v>34</v>
      </c>
      <c r="L12" s="7" t="s">
        <v>47</v>
      </c>
    </row>
    <row r="13" spans="1:12" ht="45.75" customHeight="1" x14ac:dyDescent="0.35">
      <c r="A13" s="7" t="s">
        <v>48</v>
      </c>
      <c r="B13" s="7" t="s">
        <v>26</v>
      </c>
      <c r="C13" s="7" t="s">
        <v>49</v>
      </c>
      <c r="D13" s="7" t="s">
        <v>50</v>
      </c>
      <c r="E13" s="7" t="s">
        <v>29</v>
      </c>
      <c r="F13" s="7" t="s">
        <v>51</v>
      </c>
      <c r="G13" s="7" t="s">
        <v>52</v>
      </c>
      <c r="H13" s="7" t="s">
        <v>52</v>
      </c>
      <c r="I13" s="7" t="s">
        <v>32</v>
      </c>
      <c r="J13" s="7" t="s">
        <v>33</v>
      </c>
      <c r="K13" s="7" t="s">
        <v>34</v>
      </c>
      <c r="L13" s="7" t="s">
        <v>53</v>
      </c>
    </row>
    <row r="14" spans="1:12" ht="45.75" customHeight="1" x14ac:dyDescent="0.35">
      <c r="A14" s="7" t="s">
        <v>54</v>
      </c>
      <c r="B14" s="7" t="s">
        <v>26</v>
      </c>
      <c r="C14" s="7" t="s">
        <v>55</v>
      </c>
      <c r="D14" s="7" t="s">
        <v>56</v>
      </c>
      <c r="E14" s="7" t="s">
        <v>57</v>
      </c>
      <c r="F14" s="7" t="s">
        <v>58</v>
      </c>
      <c r="G14" s="7" t="s">
        <v>59</v>
      </c>
      <c r="H14" s="7" t="s">
        <v>60</v>
      </c>
      <c r="I14" s="7" t="s">
        <v>61</v>
      </c>
      <c r="J14" s="7" t="s">
        <v>62</v>
      </c>
      <c r="K14" s="7" t="s">
        <v>57</v>
      </c>
      <c r="L14" s="7" t="s">
        <v>63</v>
      </c>
    </row>
  </sheetData>
  <mergeCells count="7">
    <mergeCell ref="B6:L6"/>
    <mergeCell ref="B7:L7"/>
    <mergeCell ref="B1:L1"/>
    <mergeCell ref="B2:L2"/>
    <mergeCell ref="B3:L3"/>
    <mergeCell ref="B4:L4"/>
    <mergeCell ref="B5:L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/>
  </sheetViews>
  <sheetFormatPr defaultColWidth="8.6328125" defaultRowHeight="14.5" x14ac:dyDescent="0.35"/>
  <cols>
    <col min="1" max="1" width="16" customWidth="1"/>
    <col min="2" max="2" width="22" customWidth="1"/>
    <col min="3" max="3" width="12" customWidth="1"/>
    <col min="4" max="5" width="16" customWidth="1"/>
    <col min="6" max="6" width="30" customWidth="1"/>
  </cols>
  <sheetData>
    <row r="1" spans="1:6" ht="27.75" customHeight="1" x14ac:dyDescent="0.35">
      <c r="A1" s="6" t="s">
        <v>64</v>
      </c>
      <c r="B1" s="6" t="s">
        <v>15</v>
      </c>
      <c r="C1" s="6" t="s">
        <v>65</v>
      </c>
      <c r="D1" s="6" t="s">
        <v>66</v>
      </c>
      <c r="E1" s="6" t="s">
        <v>67</v>
      </c>
      <c r="F1" s="6" t="s">
        <v>68</v>
      </c>
    </row>
    <row r="2" spans="1:6" ht="30" customHeight="1" x14ac:dyDescent="0.35">
      <c r="A2" s="7" t="s">
        <v>27</v>
      </c>
      <c r="B2" s="7" t="s">
        <v>69</v>
      </c>
      <c r="C2" s="7" t="s">
        <v>33</v>
      </c>
      <c r="D2" s="7" t="s">
        <v>62</v>
      </c>
      <c r="E2" s="7" t="s">
        <v>33</v>
      </c>
      <c r="F2" s="7" t="s">
        <v>35</v>
      </c>
    </row>
    <row r="3" spans="1:6" ht="30" customHeight="1" x14ac:dyDescent="0.35">
      <c r="A3" s="7" t="s">
        <v>37</v>
      </c>
      <c r="B3" s="7" t="s">
        <v>70</v>
      </c>
      <c r="C3" s="7" t="s">
        <v>33</v>
      </c>
      <c r="D3" s="7" t="s">
        <v>62</v>
      </c>
      <c r="E3" s="7" t="s">
        <v>33</v>
      </c>
      <c r="F3" s="7" t="s">
        <v>41</v>
      </c>
    </row>
    <row r="4" spans="1:6" ht="30" customHeight="1" x14ac:dyDescent="0.35">
      <c r="A4" s="7" t="s">
        <v>43</v>
      </c>
      <c r="B4" s="7" t="s">
        <v>71</v>
      </c>
      <c r="C4" s="7" t="s">
        <v>33</v>
      </c>
      <c r="D4" s="7" t="s">
        <v>62</v>
      </c>
      <c r="E4" s="7" t="s">
        <v>33</v>
      </c>
      <c r="F4" s="7" t="s">
        <v>72</v>
      </c>
    </row>
    <row r="5" spans="1:6" ht="30" customHeight="1" x14ac:dyDescent="0.35">
      <c r="A5" s="7" t="s">
        <v>49</v>
      </c>
      <c r="B5" s="7" t="s">
        <v>73</v>
      </c>
      <c r="C5" s="7" t="s">
        <v>33</v>
      </c>
      <c r="D5" s="7" t="s">
        <v>62</v>
      </c>
      <c r="E5" s="7" t="s">
        <v>33</v>
      </c>
      <c r="F5" s="7" t="s">
        <v>53</v>
      </c>
    </row>
    <row r="6" spans="1:6" ht="30" customHeight="1" x14ac:dyDescent="0.35">
      <c r="A6" s="7" t="s">
        <v>74</v>
      </c>
      <c r="B6" s="7" t="s">
        <v>75</v>
      </c>
      <c r="C6" s="7" t="s">
        <v>33</v>
      </c>
      <c r="D6" s="7" t="s">
        <v>33</v>
      </c>
      <c r="E6" s="7" t="s">
        <v>62</v>
      </c>
      <c r="F6" s="7" t="s">
        <v>76</v>
      </c>
    </row>
    <row r="7" spans="1:6" ht="30" customHeight="1" x14ac:dyDescent="0.35">
      <c r="A7" s="7" t="s">
        <v>77</v>
      </c>
      <c r="B7" s="7" t="s">
        <v>78</v>
      </c>
      <c r="C7" s="7" t="s">
        <v>33</v>
      </c>
      <c r="D7" s="7" t="s">
        <v>33</v>
      </c>
      <c r="E7" s="7" t="s">
        <v>62</v>
      </c>
      <c r="F7" s="7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zoomScaleNormal="100" workbookViewId="0"/>
  </sheetViews>
  <sheetFormatPr defaultColWidth="8.6328125" defaultRowHeight="14.5" x14ac:dyDescent="0.35"/>
  <cols>
    <col min="1" max="1" width="15" customWidth="1"/>
    <col min="2" max="2" width="12" customWidth="1"/>
    <col min="3" max="3" width="24" customWidth="1"/>
    <col min="4" max="5" width="26" customWidth="1"/>
    <col min="6" max="6" width="12" customWidth="1"/>
  </cols>
  <sheetData>
    <row r="1" spans="1:6" ht="19.5" customHeight="1" x14ac:dyDescent="0.35">
      <c r="A1" s="6" t="s">
        <v>80</v>
      </c>
      <c r="B1" s="6" t="s">
        <v>14</v>
      </c>
      <c r="C1" s="6" t="s">
        <v>81</v>
      </c>
      <c r="D1" s="6" t="s">
        <v>19</v>
      </c>
      <c r="E1" s="6" t="s">
        <v>20</v>
      </c>
      <c r="F1" s="6" t="s">
        <v>21</v>
      </c>
    </row>
    <row r="2" spans="1:6" ht="31.5" customHeight="1" x14ac:dyDescent="0.35">
      <c r="A2" s="7" t="s">
        <v>82</v>
      </c>
      <c r="B2" s="7" t="s">
        <v>26</v>
      </c>
      <c r="C2" s="7" t="s">
        <v>83</v>
      </c>
      <c r="D2" s="7" t="s">
        <v>84</v>
      </c>
      <c r="E2" s="7" t="s">
        <v>84</v>
      </c>
      <c r="F2" s="7" t="s">
        <v>32</v>
      </c>
    </row>
    <row r="3" spans="1:6" ht="31.5" customHeight="1" x14ac:dyDescent="0.35">
      <c r="A3" s="7" t="s">
        <v>85</v>
      </c>
      <c r="B3" s="7" t="s">
        <v>26</v>
      </c>
      <c r="C3" s="7" t="s">
        <v>86</v>
      </c>
      <c r="D3" s="7" t="s">
        <v>87</v>
      </c>
      <c r="E3" s="7" t="s">
        <v>87</v>
      </c>
      <c r="F3" s="7" t="s">
        <v>32</v>
      </c>
    </row>
    <row r="4" spans="1:6" ht="31.5" customHeight="1" x14ac:dyDescent="0.35">
      <c r="A4" s="7" t="s">
        <v>88</v>
      </c>
      <c r="B4" s="7" t="s">
        <v>26</v>
      </c>
      <c r="C4" s="7" t="s">
        <v>89</v>
      </c>
      <c r="D4" s="7" t="s">
        <v>90</v>
      </c>
      <c r="E4" s="7" t="s">
        <v>90</v>
      </c>
      <c r="F4" s="7" t="s">
        <v>32</v>
      </c>
    </row>
    <row r="5" spans="1:6" ht="31.5" customHeight="1" x14ac:dyDescent="0.35">
      <c r="A5" s="7" t="s">
        <v>91</v>
      </c>
      <c r="B5" s="7" t="s">
        <v>26</v>
      </c>
      <c r="C5" s="7" t="s">
        <v>92</v>
      </c>
      <c r="D5" s="7" t="s">
        <v>93</v>
      </c>
      <c r="E5" s="7" t="s">
        <v>93</v>
      </c>
      <c r="F5" s="7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topLeftCell="A5" zoomScaleNormal="100" workbookViewId="0">
      <selection activeCell="A22" sqref="A22:B22"/>
    </sheetView>
  </sheetViews>
  <sheetFormatPr defaultColWidth="8.6328125" defaultRowHeight="14.5" x14ac:dyDescent="0.35"/>
  <cols>
    <col min="1" max="1" width="32" customWidth="1"/>
    <col min="2" max="2" width="34" customWidth="1"/>
  </cols>
  <sheetData>
    <row r="1" spans="1:2" ht="15.75" customHeight="1" x14ac:dyDescent="0.35">
      <c r="A1" s="2" t="s">
        <v>94</v>
      </c>
      <c r="B1" s="2"/>
    </row>
    <row r="3" spans="1:2" ht="15" customHeight="1" x14ac:dyDescent="0.35">
      <c r="A3" s="8" t="s">
        <v>95</v>
      </c>
      <c r="B3" s="5" t="s">
        <v>96</v>
      </c>
    </row>
    <row r="4" spans="1:2" ht="15" customHeight="1" x14ac:dyDescent="0.35">
      <c r="A4" s="8" t="s">
        <v>97</v>
      </c>
      <c r="B4" s="5" t="s">
        <v>98</v>
      </c>
    </row>
    <row r="5" spans="1:2" ht="24.75" customHeight="1" x14ac:dyDescent="0.35">
      <c r="A5" s="8" t="s">
        <v>99</v>
      </c>
      <c r="B5" s="5" t="s">
        <v>100</v>
      </c>
    </row>
    <row r="6" spans="1:2" ht="15" customHeight="1" x14ac:dyDescent="0.35">
      <c r="A6" s="8" t="s">
        <v>101</v>
      </c>
      <c r="B6" s="5" t="s">
        <v>7</v>
      </c>
    </row>
    <row r="8" spans="1:2" ht="15" customHeight="1" x14ac:dyDescent="0.35">
      <c r="A8" s="6" t="s">
        <v>102</v>
      </c>
      <c r="B8" s="6" t="s">
        <v>103</v>
      </c>
    </row>
    <row r="9" spans="1:2" ht="15" customHeight="1" x14ac:dyDescent="0.35">
      <c r="A9" s="9" t="s">
        <v>104</v>
      </c>
      <c r="B9" s="10">
        <v>6</v>
      </c>
    </row>
    <row r="10" spans="1:2" ht="15" customHeight="1" x14ac:dyDescent="0.35">
      <c r="A10" s="9" t="s">
        <v>105</v>
      </c>
      <c r="B10" s="10">
        <f>COUNTIF('Module Analysis'!E2:E7,"Yes")</f>
        <v>4</v>
      </c>
    </row>
    <row r="11" spans="1:2" ht="15" customHeight="1" x14ac:dyDescent="0.35">
      <c r="A11" s="9" t="s">
        <v>106</v>
      </c>
      <c r="B11" s="10">
        <f>COUNTIF('Module Analysis'!E2:E7,"No")</f>
        <v>2</v>
      </c>
    </row>
    <row r="12" spans="1:2" ht="15" customHeight="1" x14ac:dyDescent="0.35">
      <c r="A12" s="9" t="s">
        <v>107</v>
      </c>
      <c r="B12" s="10">
        <f>COUNTA('Test Cases'!A10:A14)</f>
        <v>5</v>
      </c>
    </row>
    <row r="13" spans="1:2" ht="15" customHeight="1" x14ac:dyDescent="0.35">
      <c r="A13" s="9" t="s">
        <v>108</v>
      </c>
      <c r="B13" s="10">
        <f>COUNTIF('Test Cases'!I10:I14,"Pass")</f>
        <v>4</v>
      </c>
    </row>
    <row r="14" spans="1:2" ht="15" customHeight="1" x14ac:dyDescent="0.35">
      <c r="A14" s="9" t="s">
        <v>109</v>
      </c>
      <c r="B14" s="10">
        <f>COUNTIF('Test Cases'!I10:I14,"Not Executed")</f>
        <v>1</v>
      </c>
    </row>
    <row r="15" spans="1:2" ht="15" customHeight="1" x14ac:dyDescent="0.35">
      <c r="A15" s="9" t="s">
        <v>110</v>
      </c>
      <c r="B15" s="10">
        <f>COUNTA('Regression Suite'!A2:A5)</f>
        <v>4</v>
      </c>
    </row>
    <row r="16" spans="1:2" ht="15" customHeight="1" x14ac:dyDescent="0.35">
      <c r="A16" s="9" t="s">
        <v>111</v>
      </c>
      <c r="B16" s="10">
        <f>COUNTIF('Regression Suite'!F2:F5,"Pass")</f>
        <v>4</v>
      </c>
    </row>
    <row r="17" spans="1:2" ht="15" customHeight="1" x14ac:dyDescent="0.35">
      <c r="A17" s="9" t="s">
        <v>112</v>
      </c>
      <c r="B17" s="10">
        <f>COUNTIF('Regression Suite'!F2:F5,"Fail")</f>
        <v>0</v>
      </c>
    </row>
    <row r="18" spans="1:2" ht="15" customHeight="1" x14ac:dyDescent="0.35">
      <c r="A18" s="9" t="s">
        <v>113</v>
      </c>
      <c r="B18" s="9" t="s">
        <v>34</v>
      </c>
    </row>
    <row r="19" spans="1:2" ht="30" customHeight="1" x14ac:dyDescent="0.35">
      <c r="A19" s="9" t="s">
        <v>114</v>
      </c>
      <c r="B19" s="7" t="s">
        <v>115</v>
      </c>
    </row>
    <row r="20" spans="1:2" ht="15" customHeight="1" x14ac:dyDescent="0.35">
      <c r="A20" s="9" t="s">
        <v>116</v>
      </c>
      <c r="B20" s="9" t="s">
        <v>117</v>
      </c>
    </row>
    <row r="22" spans="1:2" ht="39.75" customHeight="1" x14ac:dyDescent="0.35">
      <c r="A22" s="1"/>
      <c r="B22" s="1"/>
    </row>
  </sheetData>
  <mergeCells count="2">
    <mergeCell ref="A1:B1"/>
    <mergeCell ref="A22:B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Module Analysis</vt:lpstr>
      <vt:lpstr>Regression Suite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2026-08-24T19:36:26Z</dcterms:created>
  <dcterms:modified xsi:type="dcterms:W3CDTF">2026-08-25T02:57:25Z</dcterms:modified>
  <dc:language>en-US</dc:language>
</cp:coreProperties>
</file>