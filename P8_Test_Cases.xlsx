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STUDY MATERIAL BCA\SEM-3\Software Testing\PR\"/>
    </mc:Choice>
  </mc:AlternateContent>
  <xr:revisionPtr revIDLastSave="0" documentId="13_ncr:1_{15A054D0-82BC-4E9A-BFB3-02E0E00973DC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Test Cases" sheetId="1" r:id="rId1"/>
    <sheet name="Test Execution" sheetId="2" r:id="rId2"/>
    <sheet name="Defects (Bugzilla)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4" l="1"/>
  <c r="B12" i="4"/>
  <c r="B16" i="4" s="1"/>
  <c r="B11" i="4"/>
  <c r="B15" i="4" s="1"/>
  <c r="B10" i="4"/>
  <c r="B9" i="4"/>
</calcChain>
</file>

<file path=xl/sharedStrings.xml><?xml version="1.0" encoding="utf-8"?>
<sst xmlns="http://schemas.openxmlformats.org/spreadsheetml/2006/main" count="150" uniqueCount="109">
  <si>
    <t>Module Name:</t>
  </si>
  <si>
    <t>QA Brains Practice Site - Registration Module (User Authentication)</t>
  </si>
  <si>
    <t>Practical No.:</t>
  </si>
  <si>
    <t>Practical 8 - Test Case Management (TestLink) &amp; Defect Tracking (Bugzilla)</t>
  </si>
  <si>
    <t>Test Case ID Range:</t>
  </si>
  <si>
    <t>TC001 to TC004</t>
  </si>
  <si>
    <t>Tester Name:</t>
  </si>
  <si>
    <t>Abhishek</t>
  </si>
  <si>
    <t>Test Case Description:</t>
  </si>
  <si>
    <t>To design and execute test cases for the Registration form of the QA Brains Practice Site, managed as TestLink test cases (simulated), and to log any observed defect in Bugzilla (simulated).</t>
  </si>
  <si>
    <t>Prerequisites:</t>
  </si>
  <si>
    <t>1. Stable internet connection
2. Google Chrome browser
3. Valid URL for the Registration page
4. Test data: Name, Country, Account Type, Email, Password, Confirm Password</t>
  </si>
  <si>
    <t>Environment Information:</t>
  </si>
  <si>
    <t>Test Case ID</t>
  </si>
  <si>
    <t>Requirement ID</t>
  </si>
  <si>
    <t>Test Scenario</t>
  </si>
  <si>
    <t>Test Data</t>
  </si>
  <si>
    <t>Expected Result</t>
  </si>
  <si>
    <t>Actual Result</t>
  </si>
  <si>
    <t>Status</t>
  </si>
  <si>
    <t>Priority</t>
  </si>
  <si>
    <t>Severity</t>
  </si>
  <si>
    <t>Remarks</t>
  </si>
  <si>
    <t>TC001</t>
  </si>
  <si>
    <t>R001</t>
  </si>
  <si>
    <t>Register using valid Name, Country, Account Type, Email, Password and Confirm Password</t>
  </si>
  <si>
    <t>Jhon Doe / India / Standard / jhon.doe@example.com / Test@1234</t>
  </si>
  <si>
    <t>"Registration Successful" confirmation is displayed</t>
  </si>
  <si>
    <t>Confirmation displayed, but message read "You have successfully logged in" instead of confirming registration</t>
  </si>
  <si>
    <t>Pass</t>
  </si>
  <si>
    <t>High</t>
  </si>
  <si>
    <t>Critical</t>
  </si>
  <si>
    <t>Wording defect observed - logged as BUG-001</t>
  </si>
  <si>
    <t>TC002</t>
  </si>
  <si>
    <t>R002</t>
  </si>
  <si>
    <t>Submit the registration form with all mandatory fields left empty</t>
  </si>
  <si>
    <t>All fields blank</t>
  </si>
  <si>
    <t>Validation error shown for each mandatory field</t>
  </si>
  <si>
    <t>Validation errors shown for all empty fields</t>
  </si>
  <si>
    <t>Major</t>
  </si>
  <si>
    <t>Validation working as expected</t>
  </si>
  <si>
    <t>TC003</t>
  </si>
  <si>
    <t>R003</t>
  </si>
  <si>
    <t>Enter an invalid email format (e.g. "notanemail")</t>
  </si>
  <si>
    <t>Name=Jhon Doe, Email=notanemail, other fields valid</t>
  </si>
  <si>
    <t>"Invalid Email Address" error shown</t>
  </si>
  <si>
    <t>Pending - to be recorded during execution</t>
  </si>
  <si>
    <t>Not Executed</t>
  </si>
  <si>
    <t>Medium</t>
  </si>
  <si>
    <t>Minor</t>
  </si>
  <si>
    <t>Pending manual verification</t>
  </si>
  <si>
    <t>TC004</t>
  </si>
  <si>
    <t>R004</t>
  </si>
  <si>
    <t>Enter a Password and Confirm Password that do not match</t>
  </si>
  <si>
    <t>Password=Test@1234, Confirm Password=Test@1235</t>
  </si>
  <si>
    <t>"Passwords do not match" error shown</t>
  </si>
  <si>
    <t>Module Name</t>
  </si>
  <si>
    <t>Registration</t>
  </si>
  <si>
    <t>Valid Registration - all fields filled correctly</t>
  </si>
  <si>
    <t>"Registration Successful" message displayed</t>
  </si>
  <si>
    <t>"You have successfully logged in" message displayed</t>
  </si>
  <si>
    <t>Message text says "logged in" instead of "registered" - see BUG-001</t>
  </si>
  <si>
    <t>Submit form with required fields left empty</t>
  </si>
  <si>
    <t>Validation errors shown for empty fields</t>
  </si>
  <si>
    <t>Invalid email format entered (e.g. "notanemail")</t>
  </si>
  <si>
    <t>To be recorded during execution</t>
  </si>
  <si>
    <t>Password and Confirm Password do not match</t>
  </si>
  <si>
    <t>Bug ID</t>
  </si>
  <si>
    <t>BUG-001</t>
  </si>
  <si>
    <t>Summary</t>
  </si>
  <si>
    <t>Registration success message incorrectly states "You have successfully logged in" instead of confirming registration</t>
  </si>
  <si>
    <t>Related Test Case</t>
  </si>
  <si>
    <t>Registration Module</t>
  </si>
  <si>
    <t>Feature Affected</t>
  </si>
  <si>
    <t>Post-registration confirmation message</t>
  </si>
  <si>
    <t>Low (Cosmetic)</t>
  </si>
  <si>
    <t>Low</t>
  </si>
  <si>
    <t>Steps to Reproduce</t>
  </si>
  <si>
    <t>1. Open https://practice.qabrains.com/registration
2. Enter valid Name, Country, Account Type, Email, Password and Confirm Password
3. Click SIGNUP</t>
  </si>
  <si>
    <t>"You have successfully logged in" message is displayed</t>
  </si>
  <si>
    <t>Status (Defect Lifecycle)</t>
  </si>
  <si>
    <t>New</t>
  </si>
  <si>
    <t>Reported By</t>
  </si>
  <si>
    <t>Reported Date</t>
  </si>
  <si>
    <t>23/08/2026</t>
  </si>
  <si>
    <t>Practical 8 - Test Summary Report</t>
  </si>
  <si>
    <t>Practical Name</t>
  </si>
  <si>
    <t>TestLink Test Case Management &amp; Bugzilla Defect Tracking</t>
  </si>
  <si>
    <t>Module Tested</t>
  </si>
  <si>
    <t>QA Brains - Registration Module</t>
  </si>
  <si>
    <t>Application URL</t>
  </si>
  <si>
    <t>https://practice.qabrains.com/registration</t>
  </si>
  <si>
    <t>Tester Name</t>
  </si>
  <si>
    <t>Metric</t>
  </si>
  <si>
    <t>Value</t>
  </si>
  <si>
    <t>Total Test Cases Designed</t>
  </si>
  <si>
    <t>Total Test Cases Executed</t>
  </si>
  <si>
    <t>Total Passed Test Cases</t>
  </si>
  <si>
    <t>Total Failed Test Cases</t>
  </si>
  <si>
    <t>Total Blocked Test Cases</t>
  </si>
  <si>
    <t>Total Not Executed Test Cases</t>
  </si>
  <si>
    <t>Pass % (of executed cases)</t>
  </si>
  <si>
    <t>Fail % (of executed cases)</t>
  </si>
  <si>
    <t>Overall Test Status</t>
  </si>
  <si>
    <t>Partial - 2 Executed / 2 Pending</t>
  </si>
  <si>
    <t>Defects Logged (Bugzilla)</t>
  </si>
  <si>
    <t>1 (BUG-001 - see 'Defects (Bugzilla)' sheet)</t>
  </si>
  <si>
    <t>Execution Date</t>
  </si>
  <si>
    <t>OS: Windows 11
Browser: Google Chrome
Webpage URL: https://practice.qabrains.com/registration
SDLC Model: Waterfall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</si>
</sst>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b/>
      <sz val="13"/>
      <name val="Times New Roman"/>
      <charset val="1"/>
    </font>
    <font>
      <i/>
      <sz val="10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="70" zoomScaleNormal="70" workbookViewId="0">
      <pane ySplit="9" topLeftCell="A10" activePane="bottomLeft" state="frozen"/>
      <selection pane="bottomLeft" activeCell="E9" sqref="E9"/>
    </sheetView>
  </sheetViews>
  <sheetFormatPr defaultColWidth="8.6328125" defaultRowHeight="14.5" x14ac:dyDescent="0.35"/>
  <cols>
    <col min="1" max="1" width="11" customWidth="1"/>
    <col min="2" max="2" width="12" customWidth="1"/>
    <col min="3" max="3" width="30" customWidth="1"/>
    <col min="4" max="4" width="26" customWidth="1"/>
    <col min="5" max="5" width="28" customWidth="1"/>
    <col min="6" max="6" width="30" customWidth="1"/>
    <col min="7" max="7" width="12" customWidth="1"/>
    <col min="8" max="8" width="9" customWidth="1"/>
    <col min="9" max="9" width="10" customWidth="1"/>
    <col min="10" max="10" width="26" customWidth="1"/>
  </cols>
  <sheetData>
    <row r="1" spans="1:10" ht="15" customHeight="1" x14ac:dyDescent="0.35">
      <c r="A1" s="4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</row>
    <row r="2" spans="1:10" ht="15" customHeight="1" x14ac:dyDescent="0.35">
      <c r="A2" s="4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</row>
    <row r="3" spans="1:10" ht="15" customHeight="1" x14ac:dyDescent="0.35">
      <c r="A3" s="4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</row>
    <row r="4" spans="1:10" ht="15" customHeight="1" x14ac:dyDescent="0.35">
      <c r="A4" s="4" t="s">
        <v>6</v>
      </c>
      <c r="B4" s="3" t="s">
        <v>7</v>
      </c>
      <c r="C4" s="3"/>
      <c r="D4" s="3"/>
      <c r="E4" s="3"/>
      <c r="F4" s="3"/>
      <c r="G4" s="3"/>
      <c r="H4" s="3"/>
      <c r="I4" s="3"/>
      <c r="J4" s="3"/>
    </row>
    <row r="5" spans="1:10" ht="15" customHeight="1" x14ac:dyDescent="0.35">
      <c r="A5" s="4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</row>
    <row r="6" spans="1:10" ht="55.5" customHeight="1" x14ac:dyDescent="0.35">
      <c r="A6" s="4" t="s">
        <v>10</v>
      </c>
      <c r="B6" s="3" t="s">
        <v>11</v>
      </c>
      <c r="C6" s="3"/>
      <c r="D6" s="3"/>
      <c r="E6" s="3"/>
      <c r="F6" s="3"/>
      <c r="G6" s="3"/>
      <c r="H6" s="3"/>
      <c r="I6" s="3"/>
      <c r="J6" s="3"/>
    </row>
    <row r="7" spans="1:10" ht="55.5" customHeight="1" x14ac:dyDescent="0.35">
      <c r="A7" s="4" t="s">
        <v>12</v>
      </c>
      <c r="B7" s="3" t="s">
        <v>108</v>
      </c>
      <c r="C7" s="3"/>
      <c r="D7" s="3"/>
      <c r="E7" s="3"/>
      <c r="F7" s="3"/>
      <c r="G7" s="3"/>
      <c r="H7" s="3"/>
      <c r="I7" s="3"/>
      <c r="J7" s="3"/>
    </row>
    <row r="9" spans="1:10" ht="19.5" customHeight="1" x14ac:dyDescent="0.3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  <c r="I9" s="6" t="s">
        <v>21</v>
      </c>
      <c r="J9" s="6" t="s">
        <v>22</v>
      </c>
    </row>
    <row r="10" spans="1:10" ht="48" customHeight="1" x14ac:dyDescent="0.35">
      <c r="A10" s="7" t="s">
        <v>23</v>
      </c>
      <c r="B10" s="7" t="s">
        <v>24</v>
      </c>
      <c r="C10" s="7" t="s">
        <v>25</v>
      </c>
      <c r="D10" s="7" t="s">
        <v>26</v>
      </c>
      <c r="E10" s="7" t="s">
        <v>27</v>
      </c>
      <c r="F10" s="7" t="s">
        <v>28</v>
      </c>
      <c r="G10" s="7" t="s">
        <v>29</v>
      </c>
      <c r="H10" s="7" t="s">
        <v>30</v>
      </c>
      <c r="I10" s="7" t="s">
        <v>31</v>
      </c>
      <c r="J10" s="7" t="s">
        <v>32</v>
      </c>
    </row>
    <row r="11" spans="1:10" ht="48" customHeight="1" x14ac:dyDescent="0.35">
      <c r="A11" s="7" t="s">
        <v>33</v>
      </c>
      <c r="B11" s="7" t="s">
        <v>34</v>
      </c>
      <c r="C11" s="7" t="s">
        <v>35</v>
      </c>
      <c r="D11" s="7" t="s">
        <v>36</v>
      </c>
      <c r="E11" s="7" t="s">
        <v>37</v>
      </c>
      <c r="F11" s="7" t="s">
        <v>38</v>
      </c>
      <c r="G11" s="7" t="s">
        <v>29</v>
      </c>
      <c r="H11" s="7" t="s">
        <v>30</v>
      </c>
      <c r="I11" s="7" t="s">
        <v>39</v>
      </c>
      <c r="J11" s="7" t="s">
        <v>40</v>
      </c>
    </row>
    <row r="12" spans="1:10" ht="48" customHeight="1" x14ac:dyDescent="0.35">
      <c r="A12" s="7" t="s">
        <v>41</v>
      </c>
      <c r="B12" s="7" t="s">
        <v>42</v>
      </c>
      <c r="C12" s="7" t="s">
        <v>43</v>
      </c>
      <c r="D12" s="7" t="s">
        <v>44</v>
      </c>
      <c r="E12" s="7" t="s">
        <v>45</v>
      </c>
      <c r="F12" s="7" t="s">
        <v>46</v>
      </c>
      <c r="G12" s="7" t="s">
        <v>47</v>
      </c>
      <c r="H12" s="7" t="s">
        <v>48</v>
      </c>
      <c r="I12" s="7" t="s">
        <v>49</v>
      </c>
      <c r="J12" s="7" t="s">
        <v>50</v>
      </c>
    </row>
    <row r="13" spans="1:10" ht="48" customHeight="1" x14ac:dyDescent="0.35">
      <c r="A13" s="7" t="s">
        <v>51</v>
      </c>
      <c r="B13" s="7" t="s">
        <v>52</v>
      </c>
      <c r="C13" s="7" t="s">
        <v>53</v>
      </c>
      <c r="D13" s="7" t="s">
        <v>54</v>
      </c>
      <c r="E13" s="7" t="s">
        <v>55</v>
      </c>
      <c r="F13" s="7" t="s">
        <v>46</v>
      </c>
      <c r="G13" s="7" t="s">
        <v>47</v>
      </c>
      <c r="H13" s="7" t="s">
        <v>48</v>
      </c>
      <c r="I13" s="7" t="s">
        <v>49</v>
      </c>
      <c r="J13" s="7" t="s">
        <v>50</v>
      </c>
    </row>
  </sheetData>
  <mergeCells count="7">
    <mergeCell ref="B6:J6"/>
    <mergeCell ref="B7:J7"/>
    <mergeCell ref="B1:J1"/>
    <mergeCell ref="B2:J2"/>
    <mergeCell ref="B3:J3"/>
    <mergeCell ref="B4:J4"/>
    <mergeCell ref="B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16" customWidth="1"/>
    <col min="3" max="3" width="28" customWidth="1"/>
    <col min="4" max="5" width="26" customWidth="1"/>
    <col min="6" max="6" width="12" customWidth="1"/>
    <col min="7" max="7" width="30" customWidth="1"/>
  </cols>
  <sheetData>
    <row r="1" spans="1:7" ht="19.5" customHeight="1" x14ac:dyDescent="0.35">
      <c r="A1" s="6" t="s">
        <v>13</v>
      </c>
      <c r="B1" s="6" t="s">
        <v>56</v>
      </c>
      <c r="C1" s="6" t="s">
        <v>15</v>
      </c>
      <c r="D1" s="6" t="s">
        <v>17</v>
      </c>
      <c r="E1" s="6" t="s">
        <v>18</v>
      </c>
      <c r="F1" s="6" t="s">
        <v>19</v>
      </c>
      <c r="G1" s="6" t="s">
        <v>22</v>
      </c>
    </row>
    <row r="2" spans="1:7" ht="39.75" customHeight="1" x14ac:dyDescent="0.35">
      <c r="A2" s="7" t="s">
        <v>23</v>
      </c>
      <c r="B2" s="7" t="s">
        <v>57</v>
      </c>
      <c r="C2" s="7" t="s">
        <v>58</v>
      </c>
      <c r="D2" s="7" t="s">
        <v>59</v>
      </c>
      <c r="E2" s="7" t="s">
        <v>60</v>
      </c>
      <c r="F2" s="7" t="s">
        <v>29</v>
      </c>
      <c r="G2" s="7" t="s">
        <v>61</v>
      </c>
    </row>
    <row r="3" spans="1:7" ht="39.75" customHeight="1" x14ac:dyDescent="0.35">
      <c r="A3" s="7" t="s">
        <v>33</v>
      </c>
      <c r="B3" s="7" t="s">
        <v>57</v>
      </c>
      <c r="C3" s="7" t="s">
        <v>62</v>
      </c>
      <c r="D3" s="7" t="s">
        <v>37</v>
      </c>
      <c r="E3" s="7" t="s">
        <v>63</v>
      </c>
      <c r="F3" s="7" t="s">
        <v>29</v>
      </c>
      <c r="G3" s="7" t="s">
        <v>40</v>
      </c>
    </row>
    <row r="4" spans="1:7" ht="39.75" customHeight="1" x14ac:dyDescent="0.35">
      <c r="A4" s="7" t="s">
        <v>41</v>
      </c>
      <c r="B4" s="7" t="s">
        <v>57</v>
      </c>
      <c r="C4" s="7" t="s">
        <v>64</v>
      </c>
      <c r="D4" s="7" t="s">
        <v>45</v>
      </c>
      <c r="E4" s="7" t="s">
        <v>65</v>
      </c>
      <c r="F4" s="7" t="s">
        <v>47</v>
      </c>
      <c r="G4" s="7" t="s">
        <v>50</v>
      </c>
    </row>
    <row r="5" spans="1:7" ht="39.75" customHeight="1" x14ac:dyDescent="0.35">
      <c r="A5" s="7" t="s">
        <v>51</v>
      </c>
      <c r="B5" s="7" t="s">
        <v>57</v>
      </c>
      <c r="C5" s="7" t="s">
        <v>66</v>
      </c>
      <c r="D5" s="7" t="s">
        <v>55</v>
      </c>
      <c r="E5" s="7" t="s">
        <v>65</v>
      </c>
      <c r="F5" s="7" t="s">
        <v>47</v>
      </c>
      <c r="G5" s="7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55" customWidth="1"/>
  </cols>
  <sheetData>
    <row r="1" spans="1:2" ht="15.75" customHeight="1" x14ac:dyDescent="0.35">
      <c r="A1" s="8" t="s">
        <v>67</v>
      </c>
      <c r="B1" s="7" t="s">
        <v>68</v>
      </c>
    </row>
    <row r="2" spans="1:2" ht="15.75" customHeight="1" x14ac:dyDescent="0.35">
      <c r="A2" s="8" t="s">
        <v>69</v>
      </c>
      <c r="B2" s="7" t="s">
        <v>70</v>
      </c>
    </row>
    <row r="3" spans="1:2" ht="15.75" customHeight="1" x14ac:dyDescent="0.35">
      <c r="A3" s="8" t="s">
        <v>71</v>
      </c>
      <c r="B3" s="7" t="s">
        <v>23</v>
      </c>
    </row>
    <row r="4" spans="1:2" ht="15.75" customHeight="1" x14ac:dyDescent="0.35">
      <c r="A4" s="8" t="s">
        <v>56</v>
      </c>
      <c r="B4" s="7" t="s">
        <v>72</v>
      </c>
    </row>
    <row r="5" spans="1:2" ht="15.75" customHeight="1" x14ac:dyDescent="0.35">
      <c r="A5" s="8" t="s">
        <v>73</v>
      </c>
      <c r="B5" s="7" t="s">
        <v>74</v>
      </c>
    </row>
    <row r="6" spans="1:2" ht="15.75" customHeight="1" x14ac:dyDescent="0.35">
      <c r="A6" s="8" t="s">
        <v>21</v>
      </c>
      <c r="B6" s="7" t="s">
        <v>75</v>
      </c>
    </row>
    <row r="7" spans="1:2" ht="15.75" customHeight="1" x14ac:dyDescent="0.35">
      <c r="A7" s="8" t="s">
        <v>20</v>
      </c>
      <c r="B7" s="7" t="s">
        <v>76</v>
      </c>
    </row>
    <row r="8" spans="1:2" ht="42" customHeight="1" x14ac:dyDescent="0.35">
      <c r="A8" s="8" t="s">
        <v>77</v>
      </c>
      <c r="B8" s="7" t="s">
        <v>78</v>
      </c>
    </row>
    <row r="9" spans="1:2" ht="15.75" customHeight="1" x14ac:dyDescent="0.35">
      <c r="A9" s="8" t="s">
        <v>17</v>
      </c>
      <c r="B9" s="7" t="s">
        <v>27</v>
      </c>
    </row>
    <row r="10" spans="1:2" ht="15.75" customHeight="1" x14ac:dyDescent="0.35">
      <c r="A10" s="8" t="s">
        <v>18</v>
      </c>
      <c r="B10" s="7" t="s">
        <v>79</v>
      </c>
    </row>
    <row r="11" spans="1:2" ht="15.75" customHeight="1" x14ac:dyDescent="0.35">
      <c r="A11" s="8" t="s">
        <v>80</v>
      </c>
      <c r="B11" s="7" t="s">
        <v>81</v>
      </c>
    </row>
    <row r="12" spans="1:2" ht="15.75" customHeight="1" x14ac:dyDescent="0.35">
      <c r="A12" s="8" t="s">
        <v>82</v>
      </c>
      <c r="B12" s="7" t="s">
        <v>7</v>
      </c>
    </row>
    <row r="13" spans="1:2" ht="15.75" customHeight="1" x14ac:dyDescent="0.35">
      <c r="A13" s="8" t="s">
        <v>83</v>
      </c>
      <c r="B13" s="7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tabSelected="1" topLeftCell="A8" zoomScaleNormal="100" workbookViewId="0">
      <selection activeCell="B26" sqref="B26"/>
    </sheetView>
  </sheetViews>
  <sheetFormatPr defaultColWidth="8.6328125" defaultRowHeight="14.5" x14ac:dyDescent="0.35"/>
  <cols>
    <col min="1" max="1" width="30" customWidth="1"/>
    <col min="2" max="2" width="32" customWidth="1"/>
  </cols>
  <sheetData>
    <row r="1" spans="1:2" ht="16.5" x14ac:dyDescent="0.35">
      <c r="A1" s="2" t="s">
        <v>85</v>
      </c>
      <c r="B1" s="2"/>
    </row>
    <row r="3" spans="1:2" ht="28" x14ac:dyDescent="0.35">
      <c r="A3" s="9" t="s">
        <v>86</v>
      </c>
      <c r="B3" s="5" t="s">
        <v>87</v>
      </c>
    </row>
    <row r="4" spans="1:2" x14ac:dyDescent="0.35">
      <c r="A4" s="9" t="s">
        <v>88</v>
      </c>
      <c r="B4" s="5" t="s">
        <v>89</v>
      </c>
    </row>
    <row r="5" spans="1:2" ht="28" x14ac:dyDescent="0.35">
      <c r="A5" s="9" t="s">
        <v>90</v>
      </c>
      <c r="B5" s="5" t="s">
        <v>91</v>
      </c>
    </row>
    <row r="6" spans="1:2" x14ac:dyDescent="0.35">
      <c r="A6" s="9" t="s">
        <v>92</v>
      </c>
      <c r="B6" s="5" t="s">
        <v>7</v>
      </c>
    </row>
    <row r="8" spans="1:2" x14ac:dyDescent="0.35">
      <c r="A8" s="6" t="s">
        <v>93</v>
      </c>
      <c r="B8" s="6" t="s">
        <v>94</v>
      </c>
    </row>
    <row r="9" spans="1:2" x14ac:dyDescent="0.35">
      <c r="A9" s="10" t="s">
        <v>95</v>
      </c>
      <c r="B9" s="11">
        <f>COUNTA('Test Cases'!A10:A13)</f>
        <v>4</v>
      </c>
    </row>
    <row r="10" spans="1:2" x14ac:dyDescent="0.35">
      <c r="A10" s="10" t="s">
        <v>96</v>
      </c>
      <c r="B10" s="11">
        <f>COUNTIF('Test Cases'!G10:G13,"Pass")+COUNTIF('Test Cases'!G10:G13,"Fail")</f>
        <v>2</v>
      </c>
    </row>
    <row r="11" spans="1:2" x14ac:dyDescent="0.35">
      <c r="A11" s="10" t="s">
        <v>97</v>
      </c>
      <c r="B11" s="11">
        <f>COUNTIF('Test Cases'!G10:G13,"Pass")</f>
        <v>2</v>
      </c>
    </row>
    <row r="12" spans="1:2" x14ac:dyDescent="0.35">
      <c r="A12" s="10" t="s">
        <v>98</v>
      </c>
      <c r="B12" s="11">
        <f>COUNTIF('Test Cases'!G10:G13,"Fail")</f>
        <v>0</v>
      </c>
    </row>
    <row r="13" spans="1:2" x14ac:dyDescent="0.35">
      <c r="A13" s="10" t="s">
        <v>99</v>
      </c>
      <c r="B13" s="11">
        <v>0</v>
      </c>
    </row>
    <row r="14" spans="1:2" x14ac:dyDescent="0.35">
      <c r="A14" s="10" t="s">
        <v>100</v>
      </c>
      <c r="B14" s="11">
        <f>COUNTIF('Test Cases'!G10:G13,"Not Executed")</f>
        <v>2</v>
      </c>
    </row>
    <row r="15" spans="1:2" x14ac:dyDescent="0.35">
      <c r="A15" s="10" t="s">
        <v>101</v>
      </c>
      <c r="B15" s="12">
        <f>IFERROR(B11/B10,0)</f>
        <v>1</v>
      </c>
    </row>
    <row r="16" spans="1:2" x14ac:dyDescent="0.35">
      <c r="A16" s="10" t="s">
        <v>102</v>
      </c>
      <c r="B16" s="12">
        <f>IFERROR(B12/B10,0)</f>
        <v>0</v>
      </c>
    </row>
    <row r="17" spans="1:2" x14ac:dyDescent="0.35">
      <c r="A17" s="10" t="s">
        <v>103</v>
      </c>
      <c r="B17" s="7" t="s">
        <v>104</v>
      </c>
    </row>
    <row r="18" spans="1:2" ht="28" x14ac:dyDescent="0.35">
      <c r="A18" s="10" t="s">
        <v>105</v>
      </c>
      <c r="B18" s="7" t="s">
        <v>106</v>
      </c>
    </row>
    <row r="19" spans="1:2" x14ac:dyDescent="0.35">
      <c r="A19" s="10" t="s">
        <v>107</v>
      </c>
      <c r="B19" s="10" t="s">
        <v>84</v>
      </c>
    </row>
    <row r="21" spans="1:2" ht="43.5" customHeight="1" x14ac:dyDescent="0.35">
      <c r="A21" s="1"/>
      <c r="B21" s="1"/>
    </row>
  </sheetData>
  <mergeCells count="2">
    <mergeCell ref="A1:B1"/>
    <mergeCell ref="A21:B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Test Execution</vt:lpstr>
      <vt:lpstr>Defects (Bugzilla)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Sisodiya</cp:lastModifiedBy>
  <cp:revision>0</cp:revision>
  <dcterms:created xsi:type="dcterms:W3CDTF">2026-08-24T19:28:31Z</dcterms:created>
  <dcterms:modified xsi:type="dcterms:W3CDTF">2026-08-25T02:52:40Z</dcterms:modified>
  <dc:language>en-US</dc:language>
</cp:coreProperties>
</file>